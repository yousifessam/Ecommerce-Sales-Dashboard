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technical\Tasks\"/>
    </mc:Choice>
  </mc:AlternateContent>
  <xr:revisionPtr revIDLastSave="0" documentId="13_ncr:1_{3BB2684D-7CB2-41E2-991F-9FC13882741B}" xr6:coauthVersionLast="36" xr6:coauthVersionMax="36" xr10:uidLastSave="{00000000-0000-0000-0000-000000000000}"/>
  <bookViews>
    <workbookView xWindow="0" yWindow="0" windowWidth="28800" windowHeight="12105" activeTab="1" xr2:uid="{00000000-000D-0000-FFFF-FFFF00000000}"/>
  </bookViews>
  <sheets>
    <sheet name="Pivot Tables" sheetId="5" r:id="rId1"/>
    <sheet name="Dashboard" sheetId="7" r:id="rId2"/>
    <sheet name="Pivot 2" sheetId="9" r:id="rId3"/>
    <sheet name="Pivot 3" sheetId="10" r:id="rId4"/>
    <sheet name="Pivot 4" sheetId="11" r:id="rId5"/>
    <sheet name="Pivot 5" sheetId="12" r:id="rId6"/>
    <sheet name="Pivot 6" sheetId="13" r:id="rId7"/>
    <sheet name="E-Commerce sales" sheetId="1" r:id="rId8"/>
    <sheet name="Mapping" sheetId="3" r:id="rId9"/>
    <sheet name="Backup of Raw Data" sheetId="2" r:id="rId10"/>
  </sheets>
  <definedNames>
    <definedName name="_xlnm._FilterDatabase" localSheetId="9" hidden="1">'Backup of Raw Data'!$A$1:$N$103</definedName>
    <definedName name="_xlnm._FilterDatabase" localSheetId="7" hidden="1">'E-Commerce sales'!$A$1:$P$89</definedName>
    <definedName name="_xlnm._FilterDatabase" localSheetId="8" hidden="1">Mapping!$D$1:$D$93</definedName>
    <definedName name="Slicer_Order_Date">#N/A</definedName>
    <definedName name="Slicer_Payment_Method">#N/A</definedName>
    <definedName name="Slicer_Quantity">#N/A</definedName>
    <definedName name="Slicer_Status">#N/A</definedName>
    <definedName name="Total_Revenue">Table1[[#Headers],[Total ]]</definedName>
  </definedNames>
  <calcPr calcId="191029"/>
  <pivotCaches>
    <pivotCache cacheId="0"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N89" i="2" l="1"/>
  <c r="P50" i="1"/>
  <c r="E103" i="2" l="1"/>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F3" i="2"/>
  <c r="E3" i="2"/>
  <c r="E2" i="2"/>
  <c r="O89" i="1"/>
  <c r="P89" i="1" s="1"/>
  <c r="L89" i="1"/>
  <c r="I89" i="1"/>
  <c r="H89" i="1"/>
  <c r="F89" i="1"/>
  <c r="P88" i="1"/>
  <c r="L88" i="1"/>
  <c r="I88" i="1"/>
  <c r="H88" i="1"/>
  <c r="F88" i="1"/>
  <c r="P87" i="1"/>
  <c r="L87" i="1"/>
  <c r="I87" i="1"/>
  <c r="H87" i="1"/>
  <c r="F87" i="1"/>
  <c r="O86" i="1"/>
  <c r="P86" i="1" s="1"/>
  <c r="L86" i="1"/>
  <c r="I86" i="1"/>
  <c r="H86" i="1"/>
  <c r="F86" i="1"/>
  <c r="P85" i="1"/>
  <c r="L85" i="1"/>
  <c r="I85" i="1"/>
  <c r="H85" i="1"/>
  <c r="F85" i="1"/>
  <c r="P84" i="1"/>
  <c r="L84" i="1"/>
  <c r="I84" i="1"/>
  <c r="H84" i="1"/>
  <c r="F84" i="1"/>
  <c r="P83" i="1"/>
  <c r="L83" i="1"/>
  <c r="I83" i="1"/>
  <c r="H83" i="1"/>
  <c r="F83" i="1"/>
  <c r="O82" i="1"/>
  <c r="P82" i="1" s="1"/>
  <c r="L82" i="1"/>
  <c r="I82" i="1"/>
  <c r="H82" i="1"/>
  <c r="F82" i="1"/>
  <c r="P81" i="1"/>
  <c r="L81" i="1"/>
  <c r="I81" i="1"/>
  <c r="H81" i="1"/>
  <c r="F81" i="1"/>
  <c r="O80" i="1"/>
  <c r="P80" i="1" s="1"/>
  <c r="L80" i="1"/>
  <c r="I80" i="1"/>
  <c r="H80" i="1"/>
  <c r="F80" i="1"/>
  <c r="O79" i="1"/>
  <c r="P79" i="1" s="1"/>
  <c r="L79" i="1"/>
  <c r="I79" i="1"/>
  <c r="H79" i="1"/>
  <c r="F79" i="1"/>
  <c r="O78" i="1"/>
  <c r="P78" i="1" s="1"/>
  <c r="L78" i="1"/>
  <c r="I78" i="1"/>
  <c r="H78" i="1"/>
  <c r="F78" i="1"/>
  <c r="O77" i="1"/>
  <c r="P77" i="1" s="1"/>
  <c r="L77" i="1"/>
  <c r="I77" i="1"/>
  <c r="H77" i="1"/>
  <c r="F77" i="1"/>
  <c r="O76" i="1"/>
  <c r="P76" i="1" s="1"/>
  <c r="L76" i="1"/>
  <c r="I76" i="1"/>
  <c r="H76" i="1"/>
  <c r="F76" i="1"/>
  <c r="P75" i="1"/>
  <c r="L75" i="1"/>
  <c r="I75" i="1"/>
  <c r="H75" i="1"/>
  <c r="F75" i="1"/>
  <c r="P74" i="1"/>
  <c r="L74" i="1"/>
  <c r="I74" i="1"/>
  <c r="H74" i="1"/>
  <c r="F74" i="1"/>
  <c r="O73" i="1"/>
  <c r="P73" i="1" s="1"/>
  <c r="L73" i="1"/>
  <c r="I73" i="1"/>
  <c r="H73" i="1"/>
  <c r="F73" i="1"/>
  <c r="O72" i="1"/>
  <c r="P72" i="1" s="1"/>
  <c r="L72" i="1"/>
  <c r="I72" i="1"/>
  <c r="H72" i="1"/>
  <c r="F72" i="1"/>
  <c r="P71" i="1"/>
  <c r="L71" i="1"/>
  <c r="I71" i="1"/>
  <c r="H71" i="1"/>
  <c r="F71" i="1"/>
  <c r="O70" i="1"/>
  <c r="P70" i="1" s="1"/>
  <c r="L70" i="1"/>
  <c r="I70" i="1"/>
  <c r="H70" i="1"/>
  <c r="F70" i="1"/>
  <c r="O69" i="1"/>
  <c r="P69" i="1" s="1"/>
  <c r="L69" i="1"/>
  <c r="I69" i="1"/>
  <c r="H69" i="1"/>
  <c r="F69" i="1"/>
  <c r="O68" i="1"/>
  <c r="P68" i="1" s="1"/>
  <c r="L68" i="1"/>
  <c r="I68" i="1"/>
  <c r="H68" i="1"/>
  <c r="F68" i="1"/>
  <c r="P67" i="1"/>
  <c r="L67" i="1"/>
  <c r="I67" i="1"/>
  <c r="H67" i="1"/>
  <c r="F67" i="1"/>
  <c r="O66" i="1"/>
  <c r="P66" i="1" s="1"/>
  <c r="L66" i="1"/>
  <c r="I66" i="1"/>
  <c r="H66" i="1"/>
  <c r="F66" i="1"/>
  <c r="O65" i="1"/>
  <c r="P65" i="1" s="1"/>
  <c r="L65" i="1"/>
  <c r="I65" i="1"/>
  <c r="H65" i="1"/>
  <c r="F65" i="1"/>
  <c r="O64" i="1"/>
  <c r="P64" i="1" s="1"/>
  <c r="L64" i="1"/>
  <c r="I64" i="1"/>
  <c r="H64" i="1"/>
  <c r="F64" i="1"/>
  <c r="P63" i="1"/>
  <c r="L63" i="1"/>
  <c r="I63" i="1"/>
  <c r="H63" i="1"/>
  <c r="F63" i="1"/>
  <c r="P62" i="1"/>
  <c r="L62" i="1"/>
  <c r="I62" i="1"/>
  <c r="H62" i="1"/>
  <c r="F62" i="1"/>
  <c r="O61" i="1"/>
  <c r="P61" i="1" s="1"/>
  <c r="L61" i="1"/>
  <c r="I61" i="1"/>
  <c r="H61" i="1"/>
  <c r="F61" i="1"/>
  <c r="P60" i="1"/>
  <c r="L60" i="1"/>
  <c r="I60" i="1"/>
  <c r="H60" i="1"/>
  <c r="F60" i="1"/>
  <c r="P59" i="1"/>
  <c r="L59" i="1"/>
  <c r="I59" i="1"/>
  <c r="H59" i="1"/>
  <c r="F59" i="1"/>
  <c r="P58" i="1"/>
  <c r="L58" i="1"/>
  <c r="I58" i="1"/>
  <c r="H58" i="1"/>
  <c r="F58" i="1"/>
  <c r="O57" i="1"/>
  <c r="P57" i="1" s="1"/>
  <c r="L57" i="1"/>
  <c r="I57" i="1"/>
  <c r="H57" i="1"/>
  <c r="F57" i="1"/>
  <c r="O56" i="1"/>
  <c r="P56" i="1" s="1"/>
  <c r="L56" i="1"/>
  <c r="I56" i="1"/>
  <c r="H56" i="1"/>
  <c r="F56" i="1"/>
  <c r="P55" i="1"/>
  <c r="L55" i="1"/>
  <c r="I55" i="1"/>
  <c r="H55" i="1"/>
  <c r="F55" i="1"/>
  <c r="P54" i="1"/>
  <c r="L54" i="1"/>
  <c r="I54" i="1"/>
  <c r="H54" i="1"/>
  <c r="F54" i="1"/>
  <c r="O53" i="1"/>
  <c r="P53" i="1" s="1"/>
  <c r="L53" i="1"/>
  <c r="I53" i="1"/>
  <c r="H53" i="1"/>
  <c r="F53" i="1"/>
  <c r="P52" i="1"/>
  <c r="L52" i="1"/>
  <c r="I52" i="1"/>
  <c r="H52" i="1"/>
  <c r="F52" i="1"/>
  <c r="P51" i="1"/>
  <c r="L51" i="1"/>
  <c r="I51" i="1"/>
  <c r="H51" i="1"/>
  <c r="F51" i="1"/>
  <c r="L50" i="1"/>
  <c r="I50" i="1"/>
  <c r="H50" i="1"/>
  <c r="F50" i="1"/>
  <c r="P49" i="1"/>
  <c r="L49" i="1"/>
  <c r="I49" i="1"/>
  <c r="H49" i="1"/>
  <c r="F49" i="1"/>
  <c r="O48" i="1"/>
  <c r="P48" i="1" s="1"/>
  <c r="L48" i="1"/>
  <c r="I48" i="1"/>
  <c r="H48" i="1"/>
  <c r="F48" i="1"/>
  <c r="P47" i="1"/>
  <c r="L47" i="1"/>
  <c r="I47" i="1"/>
  <c r="H47" i="1"/>
  <c r="F47" i="1"/>
  <c r="O46" i="1"/>
  <c r="P46" i="1" s="1"/>
  <c r="L46" i="1"/>
  <c r="I46" i="1"/>
  <c r="H46" i="1"/>
  <c r="F46" i="1"/>
  <c r="P45" i="1"/>
  <c r="L45" i="1"/>
  <c r="I45" i="1"/>
  <c r="H45" i="1"/>
  <c r="F45" i="1"/>
  <c r="O44" i="1"/>
  <c r="P44" i="1" s="1"/>
  <c r="L44" i="1"/>
  <c r="I44" i="1"/>
  <c r="H44" i="1"/>
  <c r="F44" i="1"/>
  <c r="O43" i="1"/>
  <c r="P43" i="1" s="1"/>
  <c r="L43" i="1"/>
  <c r="I43" i="1"/>
  <c r="H43" i="1"/>
  <c r="F43" i="1"/>
  <c r="O42" i="1"/>
  <c r="P42" i="1" s="1"/>
  <c r="L42" i="1"/>
  <c r="I42" i="1"/>
  <c r="H42" i="1"/>
  <c r="F42" i="1"/>
  <c r="P41" i="1"/>
  <c r="L41" i="1"/>
  <c r="I41" i="1"/>
  <c r="H41" i="1"/>
  <c r="F41" i="1"/>
  <c r="O40" i="1"/>
  <c r="P40" i="1" s="1"/>
  <c r="L40" i="1"/>
  <c r="I40" i="1"/>
  <c r="H40" i="1"/>
  <c r="F40" i="1"/>
  <c r="O39" i="1"/>
  <c r="P39" i="1" s="1"/>
  <c r="L39" i="1"/>
  <c r="I39" i="1"/>
  <c r="H39" i="1"/>
  <c r="F39" i="1"/>
  <c r="P38" i="1"/>
  <c r="L38" i="1"/>
  <c r="I38" i="1"/>
  <c r="H38" i="1"/>
  <c r="F38" i="1"/>
  <c r="O37" i="1"/>
  <c r="P37" i="1" s="1"/>
  <c r="L37" i="1"/>
  <c r="I37" i="1"/>
  <c r="H37" i="1"/>
  <c r="F37" i="1"/>
  <c r="O36" i="1"/>
  <c r="P36" i="1" s="1"/>
  <c r="L36" i="1"/>
  <c r="I36" i="1"/>
  <c r="H36" i="1"/>
  <c r="F36" i="1"/>
  <c r="O35" i="1"/>
  <c r="P35" i="1" s="1"/>
  <c r="L35" i="1"/>
  <c r="I35" i="1"/>
  <c r="H35" i="1"/>
  <c r="F35" i="1"/>
  <c r="O34" i="1"/>
  <c r="P34" i="1" s="1"/>
  <c r="L34" i="1"/>
  <c r="I34" i="1"/>
  <c r="H34" i="1"/>
  <c r="F34" i="1"/>
  <c r="O33" i="1"/>
  <c r="P33" i="1" s="1"/>
  <c r="L33" i="1"/>
  <c r="I33" i="1"/>
  <c r="H33" i="1"/>
  <c r="F33" i="1"/>
  <c r="O32" i="1"/>
  <c r="P32" i="1" s="1"/>
  <c r="L32" i="1"/>
  <c r="I32" i="1"/>
  <c r="H32" i="1"/>
  <c r="F32" i="1"/>
  <c r="O31" i="1"/>
  <c r="P31" i="1" s="1"/>
  <c r="L31" i="1"/>
  <c r="I31" i="1"/>
  <c r="H31" i="1"/>
  <c r="F31" i="1"/>
  <c r="O30" i="1"/>
  <c r="P30" i="1" s="1"/>
  <c r="L30" i="1"/>
  <c r="I30" i="1"/>
  <c r="H30" i="1"/>
  <c r="F30" i="1"/>
  <c r="P29" i="1"/>
  <c r="L29" i="1"/>
  <c r="I29" i="1"/>
  <c r="H29" i="1"/>
  <c r="F29" i="1"/>
  <c r="P28" i="1"/>
  <c r="L28" i="1"/>
  <c r="I28" i="1"/>
  <c r="H28" i="1"/>
  <c r="F28" i="1"/>
  <c r="O27" i="1"/>
  <c r="P27" i="1" s="1"/>
  <c r="L27" i="1"/>
  <c r="I27" i="1"/>
  <c r="H27" i="1"/>
  <c r="F27" i="1"/>
  <c r="P26" i="1"/>
  <c r="L26" i="1"/>
  <c r="I26" i="1"/>
  <c r="H26" i="1"/>
  <c r="F26" i="1"/>
  <c r="O25" i="1"/>
  <c r="P25" i="1" s="1"/>
  <c r="L25" i="1"/>
  <c r="I25" i="1"/>
  <c r="H25" i="1"/>
  <c r="F25" i="1"/>
  <c r="P24" i="1"/>
  <c r="L24" i="1"/>
  <c r="I24" i="1"/>
  <c r="H24" i="1"/>
  <c r="F24" i="1"/>
  <c r="O23" i="1"/>
  <c r="P23" i="1" s="1"/>
  <c r="L23" i="1"/>
  <c r="I23" i="1"/>
  <c r="H23" i="1"/>
  <c r="F23" i="1"/>
  <c r="O22" i="1"/>
  <c r="P22" i="1" s="1"/>
  <c r="L22" i="1"/>
  <c r="I22" i="1"/>
  <c r="H22" i="1"/>
  <c r="F22" i="1"/>
  <c r="P21" i="1"/>
  <c r="L21" i="1"/>
  <c r="I21" i="1"/>
  <c r="H21" i="1"/>
  <c r="F21" i="1"/>
  <c r="O20" i="1"/>
  <c r="P20" i="1" s="1"/>
  <c r="L20" i="1"/>
  <c r="I20" i="1"/>
  <c r="H20" i="1"/>
  <c r="F20" i="1"/>
  <c r="O19" i="1"/>
  <c r="P19" i="1" s="1"/>
  <c r="L19" i="1"/>
  <c r="I19" i="1"/>
  <c r="H19" i="1"/>
  <c r="F19" i="1"/>
  <c r="O18" i="1"/>
  <c r="P18" i="1" s="1"/>
  <c r="L18" i="1"/>
  <c r="I18" i="1"/>
  <c r="H18" i="1"/>
  <c r="F18" i="1"/>
  <c r="O17" i="1"/>
  <c r="P17" i="1" s="1"/>
  <c r="L17" i="1"/>
  <c r="I17" i="1"/>
  <c r="H17" i="1"/>
  <c r="F17" i="1"/>
  <c r="J16" i="1"/>
  <c r="L16" i="1" s="1"/>
  <c r="I16" i="1"/>
  <c r="H16" i="1"/>
  <c r="F16" i="1"/>
  <c r="O15" i="1"/>
  <c r="P15" i="1" s="1"/>
  <c r="L15" i="1"/>
  <c r="I15" i="1"/>
  <c r="H15" i="1"/>
  <c r="F15" i="1"/>
  <c r="J14" i="1"/>
  <c r="P14" i="1" s="1"/>
  <c r="I14" i="1"/>
  <c r="H14" i="1"/>
  <c r="F14" i="1"/>
  <c r="O13" i="1"/>
  <c r="P13" i="1" s="1"/>
  <c r="L13" i="1"/>
  <c r="I13" i="1"/>
  <c r="H13" i="1"/>
  <c r="F13" i="1"/>
  <c r="P12" i="1"/>
  <c r="L12" i="1"/>
  <c r="I12" i="1"/>
  <c r="H12" i="1"/>
  <c r="F12" i="1"/>
  <c r="J11" i="1"/>
  <c r="L11" i="1" s="1"/>
  <c r="I11" i="1"/>
  <c r="H11" i="1"/>
  <c r="F11" i="1"/>
  <c r="S10" i="1"/>
  <c r="P10" i="1"/>
  <c r="L10" i="1"/>
  <c r="I10" i="1"/>
  <c r="H10" i="1"/>
  <c r="F10" i="1"/>
  <c r="S9" i="1"/>
  <c r="O9" i="1"/>
  <c r="P9" i="1" s="1"/>
  <c r="L9" i="1"/>
  <c r="I9" i="1"/>
  <c r="H9" i="1"/>
  <c r="F9" i="1"/>
  <c r="P8" i="1"/>
  <c r="L8" i="1"/>
  <c r="I8" i="1"/>
  <c r="H8" i="1"/>
  <c r="F8" i="1"/>
  <c r="S7" i="1"/>
  <c r="P7" i="1"/>
  <c r="L7" i="1"/>
  <c r="I7" i="1"/>
  <c r="H7" i="1"/>
  <c r="F7" i="1"/>
  <c r="P6" i="1"/>
  <c r="L6" i="1"/>
  <c r="I6" i="1"/>
  <c r="H6" i="1"/>
  <c r="F6" i="1"/>
  <c r="O5" i="1"/>
  <c r="P5" i="1" s="1"/>
  <c r="L5" i="1"/>
  <c r="I5" i="1"/>
  <c r="H5" i="1"/>
  <c r="F5" i="1"/>
  <c r="O4" i="1"/>
  <c r="P4" i="1" s="1"/>
  <c r="L4" i="1"/>
  <c r="I4" i="1"/>
  <c r="H4" i="1"/>
  <c r="F4" i="1"/>
  <c r="J3" i="1"/>
  <c r="I3" i="1"/>
  <c r="H3" i="1"/>
  <c r="F3" i="1"/>
  <c r="L2" i="1"/>
  <c r="I2" i="1"/>
  <c r="H2" i="1"/>
  <c r="F2" i="1"/>
  <c r="P19" i="5"/>
  <c r="D16" i="5"/>
  <c r="P12" i="5"/>
  <c r="Q4" i="5"/>
  <c r="F3" i="5"/>
  <c r="G13" i="5"/>
  <c r="P2" i="2" l="1"/>
  <c r="P1" i="2"/>
  <c r="S17" i="1"/>
  <c r="S16" i="1"/>
  <c r="P2" i="1"/>
  <c r="L3" i="1"/>
  <c r="O16" i="1"/>
  <c r="P16" i="1" s="1"/>
  <c r="L14" i="1"/>
  <c r="O11" i="1"/>
  <c r="P11" i="1" s="1"/>
  <c r="P3" i="2" l="1"/>
  <c r="P4" i="2" s="1"/>
  <c r="Q4" i="2" s="1"/>
  <c r="S18" i="1"/>
  <c r="S20" i="1" s="1"/>
  <c r="P3" i="1"/>
  <c r="S8" i="1"/>
  <c r="S6" i="1"/>
  <c r="P5" i="2" l="1"/>
  <c r="S19" i="1"/>
  <c r="T19" i="1" s="1"/>
  <c r="K8" i="1" s="1"/>
  <c r="K29" i="1" l="1"/>
  <c r="K56" i="1"/>
  <c r="K54" i="1"/>
  <c r="K83" i="1"/>
  <c r="K12" i="1"/>
  <c r="K47" i="1"/>
  <c r="K85" i="1"/>
  <c r="K81" i="1"/>
  <c r="K51" i="1"/>
  <c r="K28" i="1"/>
  <c r="K78" i="1"/>
  <c r="K10" i="1"/>
  <c r="K17" i="1"/>
  <c r="K37" i="1"/>
  <c r="K31" i="1"/>
  <c r="K75" i="1"/>
  <c r="K66" i="1"/>
  <c r="K11" i="1"/>
  <c r="K3" i="1"/>
  <c r="K43" i="1"/>
  <c r="K36" i="1"/>
  <c r="K62" i="1"/>
  <c r="K82" i="1"/>
  <c r="K16" i="1"/>
  <c r="K35" i="1"/>
  <c r="K6" i="1"/>
  <c r="K89" i="1"/>
  <c r="K24" i="1"/>
  <c r="K44" i="1"/>
  <c r="K59" i="1"/>
  <c r="K63" i="1"/>
  <c r="K21" i="1"/>
  <c r="K50" i="1"/>
  <c r="K33" i="1"/>
  <c r="K69" i="1"/>
  <c r="K41" i="1"/>
  <c r="K40" i="1"/>
  <c r="K45" i="1"/>
  <c r="K74" i="1"/>
  <c r="K52" i="1"/>
  <c r="K14" i="1"/>
  <c r="K60" i="1"/>
  <c r="K2" i="1"/>
  <c r="K64" i="1"/>
  <c r="K39" i="1"/>
  <c r="K67" i="1"/>
  <c r="K9" i="1"/>
  <c r="K79" i="1"/>
  <c r="K32" i="1"/>
  <c r="K87" i="1"/>
  <c r="K4" i="1"/>
  <c r="K7" i="1"/>
  <c r="K55" i="1"/>
  <c r="K15" i="1"/>
  <c r="K26" i="1"/>
  <c r="K70" i="1"/>
  <c r="K22" i="1"/>
  <c r="K34" i="1"/>
  <c r="K86" i="1"/>
  <c r="K38" i="1"/>
  <c r="K25" i="1"/>
  <c r="K46" i="1"/>
  <c r="K53" i="1"/>
  <c r="K71" i="1"/>
  <c r="K61" i="1"/>
  <c r="K18" i="1"/>
  <c r="K68" i="1"/>
  <c r="K27" i="1"/>
  <c r="K72" i="1"/>
  <c r="K13" i="1"/>
  <c r="K73" i="1"/>
  <c r="K80" i="1"/>
  <c r="K84" i="1"/>
  <c r="K30" i="1"/>
  <c r="K19" i="1"/>
  <c r="K42" i="1"/>
  <c r="K23" i="1"/>
  <c r="K49" i="1"/>
  <c r="K77" i="1"/>
  <c r="K57" i="1"/>
  <c r="K5" i="1"/>
  <c r="K65" i="1"/>
  <c r="K58" i="1"/>
  <c r="K76" i="1"/>
  <c r="K20" i="1"/>
  <c r="K48" i="1"/>
  <c r="K88" i="1"/>
</calcChain>
</file>

<file path=xl/sharedStrings.xml><?xml version="1.0" encoding="utf-8"?>
<sst xmlns="http://schemas.openxmlformats.org/spreadsheetml/2006/main" count="1358" uniqueCount="298">
  <si>
    <t>ID</t>
  </si>
  <si>
    <t xml:space="preserve"> Customer_Name</t>
  </si>
  <si>
    <t>Order_ID</t>
  </si>
  <si>
    <t>Order_Date</t>
  </si>
  <si>
    <t>Product</t>
  </si>
  <si>
    <t xml:space="preserve"> Category</t>
  </si>
  <si>
    <t>Quantity</t>
  </si>
  <si>
    <t>Price</t>
  </si>
  <si>
    <t>Payment_Method</t>
  </si>
  <si>
    <t>Status</t>
  </si>
  <si>
    <t>Total</t>
  </si>
  <si>
    <t>Customer_100</t>
  </si>
  <si>
    <t>ORD-41285</t>
  </si>
  <si>
    <t>Blender</t>
  </si>
  <si>
    <t>Home</t>
  </si>
  <si>
    <t>Cash on Delivery</t>
  </si>
  <si>
    <t>Shipped</t>
  </si>
  <si>
    <t>Customer_101</t>
  </si>
  <si>
    <t>ORD-35783</t>
  </si>
  <si>
    <t>Smartphone</t>
  </si>
  <si>
    <t>Electronics</t>
  </si>
  <si>
    <t>abd</t>
  </si>
  <si>
    <t>PayPal</t>
  </si>
  <si>
    <t>Processing</t>
  </si>
  <si>
    <t>Customer_102</t>
  </si>
  <si>
    <t>ORD-84355</t>
  </si>
  <si>
    <t>Tennis Racket</t>
  </si>
  <si>
    <t>Sports</t>
  </si>
  <si>
    <t>Delivered</t>
  </si>
  <si>
    <t>Customer_103</t>
  </si>
  <si>
    <t>ORD-57811</t>
  </si>
  <si>
    <t>Science</t>
  </si>
  <si>
    <t>Books</t>
  </si>
  <si>
    <t>Customer_104</t>
  </si>
  <si>
    <t>ORD-93614</t>
  </si>
  <si>
    <t>Biography</t>
  </si>
  <si>
    <t>Customer_105</t>
  </si>
  <si>
    <t>ORD-22442</t>
  </si>
  <si>
    <t>Cancelled</t>
  </si>
  <si>
    <t>Customer_106</t>
  </si>
  <si>
    <t>ORD-25885</t>
  </si>
  <si>
    <t>Bank Transfer</t>
  </si>
  <si>
    <t>Customer_107</t>
  </si>
  <si>
    <t>ORD-89122</t>
  </si>
  <si>
    <t>Returned</t>
  </si>
  <si>
    <t>Customer_108</t>
  </si>
  <si>
    <t>ORD-64400</t>
  </si>
  <si>
    <t>Customer_109</t>
  </si>
  <si>
    <t>ORD-18512</t>
  </si>
  <si>
    <t>Credit Card</t>
  </si>
  <si>
    <t>Customer_110</t>
  </si>
  <si>
    <t>ORD-61020</t>
  </si>
  <si>
    <t>Basketball</t>
  </si>
  <si>
    <t>sports</t>
  </si>
  <si>
    <t>Customer_111</t>
  </si>
  <si>
    <t>ORD-72349</t>
  </si>
  <si>
    <t>Comics</t>
  </si>
  <si>
    <t>Customer_112</t>
  </si>
  <si>
    <t>ORD-80867</t>
  </si>
  <si>
    <t>Shoes</t>
  </si>
  <si>
    <t>Clothing</t>
  </si>
  <si>
    <t>Customer_113</t>
  </si>
  <si>
    <t>ORD-23994</t>
  </si>
  <si>
    <t>Fiction</t>
  </si>
  <si>
    <t>Customer_114</t>
  </si>
  <si>
    <t>ORD-77417</t>
  </si>
  <si>
    <t>Customer_115</t>
  </si>
  <si>
    <t>ORD-72778</t>
  </si>
  <si>
    <t>Customer_116</t>
  </si>
  <si>
    <t>ORD-63660</t>
  </si>
  <si>
    <t>Microwave</t>
  </si>
  <si>
    <t>Customer_117</t>
  </si>
  <si>
    <t>ORD-72751</t>
  </si>
  <si>
    <t>electronic</t>
  </si>
  <si>
    <t>Customer_118</t>
  </si>
  <si>
    <t>ORD-96061</t>
  </si>
  <si>
    <t>Customer_119</t>
  </si>
  <si>
    <t>ORD-76016</t>
  </si>
  <si>
    <t>Customer_120</t>
  </si>
  <si>
    <t>ORD-14659</t>
  </si>
  <si>
    <t>Yoga Mat</t>
  </si>
  <si>
    <t>ELECTRONICS</t>
  </si>
  <si>
    <t>Customer_121</t>
  </si>
  <si>
    <t>ORD-80067</t>
  </si>
  <si>
    <t>Customer_122</t>
  </si>
  <si>
    <t>ORD-21443</t>
  </si>
  <si>
    <t>Customer_123</t>
  </si>
  <si>
    <t>ORD-11314</t>
  </si>
  <si>
    <t>Vacuum</t>
  </si>
  <si>
    <t>Customer_124</t>
  </si>
  <si>
    <t>ORD-46136</t>
  </si>
  <si>
    <t>Customer_125</t>
  </si>
  <si>
    <t>ORD-23202</t>
  </si>
  <si>
    <t>Customer_126</t>
  </si>
  <si>
    <t>ORD-11261</t>
  </si>
  <si>
    <t>Customer_127</t>
  </si>
  <si>
    <t>ORD-65482</t>
  </si>
  <si>
    <t>Customer_128</t>
  </si>
  <si>
    <t>ORD-12270</t>
  </si>
  <si>
    <t>Lamp</t>
  </si>
  <si>
    <t>electronics</t>
  </si>
  <si>
    <t>Customer_129</t>
  </si>
  <si>
    <t>ORD-48863</t>
  </si>
  <si>
    <t>Customer_130</t>
  </si>
  <si>
    <t>ORD-34007</t>
  </si>
  <si>
    <t>Customer_131</t>
  </si>
  <si>
    <t>ORD-91396</t>
  </si>
  <si>
    <t>Customer_132</t>
  </si>
  <si>
    <t>ORD-40186</t>
  </si>
  <si>
    <t>Customer_133</t>
  </si>
  <si>
    <t>ORD-68182</t>
  </si>
  <si>
    <t>nan</t>
  </si>
  <si>
    <t>Customer_134</t>
  </si>
  <si>
    <t>ORD-16585</t>
  </si>
  <si>
    <t>T-shirt</t>
  </si>
  <si>
    <t>Customer_135</t>
  </si>
  <si>
    <t>ORD-33656</t>
  </si>
  <si>
    <t>Smartwatch</t>
  </si>
  <si>
    <t>Customer_136</t>
  </si>
  <si>
    <t>ORD-20985</t>
  </si>
  <si>
    <t>Headphones</t>
  </si>
  <si>
    <t>Customer_137</t>
  </si>
  <si>
    <t>ORD-91254</t>
  </si>
  <si>
    <t>Customer_138</t>
  </si>
  <si>
    <t>ORD-34319</t>
  </si>
  <si>
    <t>Customer_139</t>
  </si>
  <si>
    <t>ORD-38418</t>
  </si>
  <si>
    <t>Customer_140</t>
  </si>
  <si>
    <t>ORD-67096</t>
  </si>
  <si>
    <t>Customer_141</t>
  </si>
  <si>
    <t>ORD-45059</t>
  </si>
  <si>
    <t>Customer_142</t>
  </si>
  <si>
    <t>ORD-69018</t>
  </si>
  <si>
    <t>Customer_143</t>
  </si>
  <si>
    <t>ORD-14329</t>
  </si>
  <si>
    <t>Customer_144</t>
  </si>
  <si>
    <t>ORD-89452</t>
  </si>
  <si>
    <t>Football</t>
  </si>
  <si>
    <t>Customer_145</t>
  </si>
  <si>
    <t>ORD-75314</t>
  </si>
  <si>
    <t>Laptop</t>
  </si>
  <si>
    <t>Customer_146</t>
  </si>
  <si>
    <t>ORD-32755</t>
  </si>
  <si>
    <t>Customer_147</t>
  </si>
  <si>
    <t>ORD-80707</t>
  </si>
  <si>
    <t>Jacket</t>
  </si>
  <si>
    <t>Customer_148</t>
  </si>
  <si>
    <t>ORD-38423</t>
  </si>
  <si>
    <t>Customer_149</t>
  </si>
  <si>
    <t>ORD-95911</t>
  </si>
  <si>
    <t>Customer_150</t>
  </si>
  <si>
    <t>ORD-76902</t>
  </si>
  <si>
    <t>Customer_151</t>
  </si>
  <si>
    <t>ORD-56552</t>
  </si>
  <si>
    <t>Customer_152</t>
  </si>
  <si>
    <t>ORD-72869</t>
  </si>
  <si>
    <t>Customer_153</t>
  </si>
  <si>
    <t>ORD-29721</t>
  </si>
  <si>
    <t>Customer_154</t>
  </si>
  <si>
    <t>ORD-95990</t>
  </si>
  <si>
    <t>Customer_155</t>
  </si>
  <si>
    <t>ORD-20182</t>
  </si>
  <si>
    <t>shoes</t>
  </si>
  <si>
    <t>Customer_156</t>
  </si>
  <si>
    <t>ORD-34679</t>
  </si>
  <si>
    <t>Jeans</t>
  </si>
  <si>
    <t>Customer_157</t>
  </si>
  <si>
    <t>ORD-34407</t>
  </si>
  <si>
    <t>Customer_158</t>
  </si>
  <si>
    <t>ORD-35817</t>
  </si>
  <si>
    <t>Customer_159</t>
  </si>
  <si>
    <t>ORD-98162</t>
  </si>
  <si>
    <t>Customer_160</t>
  </si>
  <si>
    <t>ORD-96037</t>
  </si>
  <si>
    <t>Customer_161</t>
  </si>
  <si>
    <t>ORD-27653</t>
  </si>
  <si>
    <t>Customer_162</t>
  </si>
  <si>
    <t>ORD-27743</t>
  </si>
  <si>
    <t>Customer_163</t>
  </si>
  <si>
    <t>ORD-24378</t>
  </si>
  <si>
    <t>Customer_164</t>
  </si>
  <si>
    <t>ORD-23010</t>
  </si>
  <si>
    <t>Customer_165</t>
  </si>
  <si>
    <t>ORD-55695</t>
  </si>
  <si>
    <t>Customer_166</t>
  </si>
  <si>
    <t>ORD-97756</t>
  </si>
  <si>
    <t>Customer_167</t>
  </si>
  <si>
    <t>ORD-30329</t>
  </si>
  <si>
    <t>Customer_168</t>
  </si>
  <si>
    <t>ORD-53430</t>
  </si>
  <si>
    <t>Customer_169</t>
  </si>
  <si>
    <t>ORD-75539</t>
  </si>
  <si>
    <t>Customer_170</t>
  </si>
  <si>
    <t>ORD-21530</t>
  </si>
  <si>
    <t>Customer_171</t>
  </si>
  <si>
    <t>ORD-99790</t>
  </si>
  <si>
    <t>Customer_172</t>
  </si>
  <si>
    <t>ORD-48008</t>
  </si>
  <si>
    <t>Customer_173</t>
  </si>
  <si>
    <t>ORD-42171</t>
  </si>
  <si>
    <t>Customer_174</t>
  </si>
  <si>
    <t>ORD-16766</t>
  </si>
  <si>
    <t>Customer_175</t>
  </si>
  <si>
    <t>ORD-56651</t>
  </si>
  <si>
    <t>Customer_176</t>
  </si>
  <si>
    <t>ORD-95794</t>
  </si>
  <si>
    <t>Customer_177</t>
  </si>
  <si>
    <t>ORD-64136</t>
  </si>
  <si>
    <t>Customer_178</t>
  </si>
  <si>
    <t>ORD-89906</t>
  </si>
  <si>
    <t>Customer_179</t>
  </si>
  <si>
    <t>ORD-99328</t>
  </si>
  <si>
    <t>Customer_180</t>
  </si>
  <si>
    <t>ORD-86629</t>
  </si>
  <si>
    <t>Customer_181</t>
  </si>
  <si>
    <t>ORD-54481</t>
  </si>
  <si>
    <t>Customer_182</t>
  </si>
  <si>
    <t>ORD-79672</t>
  </si>
  <si>
    <t>Customer_183</t>
  </si>
  <si>
    <t>ORD-20916</t>
  </si>
  <si>
    <t>Customer_184</t>
  </si>
  <si>
    <t>ORD-67799</t>
  </si>
  <si>
    <t>Customer_185</t>
  </si>
  <si>
    <t>ORD-57123</t>
  </si>
  <si>
    <t>Customer_186</t>
  </si>
  <si>
    <t>ORD-90569</t>
  </si>
  <si>
    <t>Customer_187</t>
  </si>
  <si>
    <t>ORD-41292</t>
  </si>
  <si>
    <t>Customer_188</t>
  </si>
  <si>
    <t>ORD-58590</t>
  </si>
  <si>
    <t>Customer_189</t>
  </si>
  <si>
    <t>ORD-30627</t>
  </si>
  <si>
    <t>Customer_190</t>
  </si>
  <si>
    <t>ORD-38469</t>
  </si>
  <si>
    <t>Customer_191</t>
  </si>
  <si>
    <t>ORD-41810</t>
  </si>
  <si>
    <t>Customer_193</t>
  </si>
  <si>
    <t>ORD-42475</t>
  </si>
  <si>
    <t>Customer_194</t>
  </si>
  <si>
    <t>ORD-69764</t>
  </si>
  <si>
    <t>Customer_195</t>
  </si>
  <si>
    <t>ORD-82876</t>
  </si>
  <si>
    <t>Customer_196</t>
  </si>
  <si>
    <t>ORD-78384</t>
  </si>
  <si>
    <t>Customer_197</t>
  </si>
  <si>
    <t>ORD-79139</t>
  </si>
  <si>
    <t>Customer_198</t>
  </si>
  <si>
    <t>ORD-14608</t>
  </si>
  <si>
    <t>Customer_199</t>
  </si>
  <si>
    <t>ORD-82922</t>
  </si>
  <si>
    <t>Clothings</t>
  </si>
  <si>
    <t>Quality Check</t>
  </si>
  <si>
    <t>Quantity_Check2</t>
  </si>
  <si>
    <t>Total_Check</t>
  </si>
  <si>
    <t>KPIS</t>
  </si>
  <si>
    <t xml:space="preserve">Total </t>
  </si>
  <si>
    <t>Count of Order_ID</t>
  </si>
  <si>
    <t>Sum of Quantity</t>
  </si>
  <si>
    <t xml:space="preserve">Sum of Total </t>
  </si>
  <si>
    <t>2025</t>
  </si>
  <si>
    <t>Mar</t>
  </si>
  <si>
    <t>Grand Total</t>
  </si>
  <si>
    <t>Orders</t>
  </si>
  <si>
    <t>Q1</t>
  </si>
  <si>
    <t>q3</t>
  </si>
  <si>
    <t>IQR</t>
  </si>
  <si>
    <t>Lower</t>
  </si>
  <si>
    <t>Upper</t>
  </si>
  <si>
    <t>Price Check 1</t>
  </si>
  <si>
    <t>Price Check 2</t>
  </si>
  <si>
    <t>Broduct</t>
  </si>
  <si>
    <t>Broducts Revenue</t>
  </si>
  <si>
    <t xml:space="preserve">Bayment Method </t>
  </si>
  <si>
    <t>Bayment Method By Revenue</t>
  </si>
  <si>
    <t>Orders Status</t>
  </si>
  <si>
    <t>Revenue By Orders Status</t>
  </si>
  <si>
    <t>Product Quantity</t>
  </si>
  <si>
    <t>Bayment Method</t>
  </si>
  <si>
    <t>Orders By Bayment Method</t>
  </si>
  <si>
    <t>Date</t>
  </si>
  <si>
    <t>Sales Date</t>
  </si>
  <si>
    <t>Category</t>
  </si>
  <si>
    <t>Top Selling Category</t>
  </si>
  <si>
    <t>(All)</t>
  </si>
  <si>
    <t>2023</t>
  </si>
  <si>
    <t>Jan</t>
  </si>
  <si>
    <t>May</t>
  </si>
  <si>
    <t>2024</t>
  </si>
  <si>
    <t>Nov</t>
  </si>
  <si>
    <t>Dec</t>
  </si>
  <si>
    <t>Feb</t>
  </si>
  <si>
    <t>Apr</t>
  </si>
  <si>
    <t>Jun</t>
  </si>
  <si>
    <t>Jul</t>
  </si>
  <si>
    <t>Aug</t>
  </si>
  <si>
    <t>Sep</t>
  </si>
  <si>
    <t>Oct</t>
  </si>
  <si>
    <t>Count of  Customer_Name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</si>
</sst>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
    <numFmt numFmtId="166" formatCode="_(&quot;$&quot;* #,##0_);_(&quot;$&quot;* \(#,##0\);_(&quot;$&quot;* &quot;-&quot;??_);_(@_)"/>
  </numFmts>
  <fonts count="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20"/>
      <color theme="0"/>
      <name val="Arial Black"/>
      <family val="2"/>
    </font>
    <font>
      <sz val="11"/>
      <color theme="1"/>
      <name val="Calibri"/>
      <family val="2"/>
      <scheme val="minor"/>
    </font>
    <font>
      <b/>
      <sz val="11"/>
      <color theme="1"/>
      <name val="Calibri"/>
      <family val="2"/>
      <scheme val="minor"/>
    </font>
    <font>
      <sz val="11"/>
      <color theme="1"/>
      <name val="Calibri"/>
      <family val="2"/>
      <charset val="134"/>
      <scheme val="minor"/>
    </font>
    <font>
      <b/>
      <sz val="11"/>
      <color rgb="FFFF0000"/>
      <name val="Calibri"/>
      <family val="2"/>
      <scheme val="minor"/>
    </font>
  </fonts>
  <fills count="13">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rgb="FFFFFFCC"/>
      </patternFill>
    </fill>
    <fill>
      <patternFill patternType="solid">
        <fgColor theme="5" tint="0.79998168889431442"/>
        <bgColor indexed="64"/>
      </patternFill>
    </fill>
    <fill>
      <patternFill patternType="solid">
        <fgColor theme="0"/>
        <bgColor indexed="64"/>
      </patternFill>
    </fill>
    <fill>
      <patternFill patternType="solid">
        <fgColor rgb="FF00206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s>
  <cellStyleXfs count="2">
    <xf numFmtId="0" fontId="0" fillId="0" borderId="0">
      <alignment vertical="center"/>
    </xf>
    <xf numFmtId="0" fontId="5" fillId="9" borderId="13" applyNumberFormat="0" applyFont="0" applyAlignment="0" applyProtection="0"/>
  </cellStyleXfs>
  <cellXfs count="66">
    <xf numFmtId="0" fontId="0" fillId="0" borderId="0" xfId="0">
      <alignment vertical="center"/>
    </xf>
    <xf numFmtId="0" fontId="0" fillId="0" borderId="1" xfId="0" applyBorder="1">
      <alignment vertical="center"/>
    </xf>
    <xf numFmtId="14" fontId="0" fillId="3" borderId="1" xfId="0" applyNumberFormat="1" applyFill="1" applyBorder="1">
      <alignment vertical="center"/>
    </xf>
    <xf numFmtId="0" fontId="0" fillId="4" borderId="1" xfId="0" applyFill="1" applyBorder="1">
      <alignment vertical="center"/>
    </xf>
    <xf numFmtId="0" fontId="0" fillId="5" borderId="1" xfId="0" applyFill="1" applyBorder="1">
      <alignment vertical="center"/>
    </xf>
    <xf numFmtId="0" fontId="0" fillId="2" borderId="1" xfId="0" applyFill="1" applyBorder="1">
      <alignment vertical="center"/>
    </xf>
    <xf numFmtId="0" fontId="0" fillId="6" borderId="1" xfId="0" applyFill="1" applyBorder="1">
      <alignment vertical="center"/>
    </xf>
    <xf numFmtId="0" fontId="0" fillId="2" borderId="1" xfId="0" applyNumberFormat="1" applyFill="1" applyBorder="1">
      <alignment vertical="center"/>
    </xf>
    <xf numFmtId="14" fontId="3" fillId="3" borderId="1" xfId="0" applyNumberFormat="1" applyFont="1" applyFill="1" applyBorder="1">
      <alignment vertical="center"/>
    </xf>
    <xf numFmtId="164" fontId="0" fillId="3" borderId="1" xfId="0" applyNumberFormat="1" applyFill="1" applyBorder="1">
      <alignment vertical="center"/>
    </xf>
    <xf numFmtId="14" fontId="0" fillId="3" borderId="2" xfId="0" applyNumberFormat="1" applyFill="1" applyBorder="1">
      <alignment vertical="center"/>
    </xf>
    <xf numFmtId="0" fontId="3" fillId="0" borderId="1" xfId="0" applyFont="1" applyBorder="1">
      <alignment vertical="center"/>
    </xf>
    <xf numFmtId="0" fontId="3" fillId="6" borderId="3" xfId="0" applyFont="1" applyFill="1" applyBorder="1">
      <alignment vertical="center"/>
    </xf>
    <xf numFmtId="0" fontId="3" fillId="6" borderId="1" xfId="0" applyFont="1" applyFill="1" applyBorder="1">
      <alignment vertical="center"/>
    </xf>
    <xf numFmtId="0" fontId="0" fillId="6" borderId="4" xfId="0" applyFill="1" applyBorder="1">
      <alignment vertical="center"/>
    </xf>
    <xf numFmtId="0" fontId="0" fillId="0" borderId="2" xfId="0" applyBorder="1">
      <alignment vertical="center"/>
    </xf>
    <xf numFmtId="0" fontId="0" fillId="5" borderId="2" xfId="0" applyFill="1" applyBorder="1">
      <alignment vertical="center"/>
    </xf>
    <xf numFmtId="0" fontId="0" fillId="2" borderId="2" xfId="0" applyFill="1" applyBorder="1">
      <alignment vertical="center"/>
    </xf>
    <xf numFmtId="0" fontId="0" fillId="6" borderId="5" xfId="0" applyFill="1" applyBorder="1">
      <alignment vertical="center"/>
    </xf>
    <xf numFmtId="0" fontId="0" fillId="0" borderId="0" xfId="0" applyFill="1" applyBorder="1">
      <alignment vertical="center"/>
    </xf>
    <xf numFmtId="14" fontId="0" fillId="0" borderId="0" xfId="0" applyNumberFormat="1" applyFill="1"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6" xfId="0" applyBorder="1">
      <alignment vertical="center"/>
    </xf>
    <xf numFmtId="14" fontId="0" fillId="3" borderId="6" xfId="0" applyNumberFormat="1" applyFill="1" applyBorder="1">
      <alignment vertical="center"/>
    </xf>
    <xf numFmtId="0" fontId="3" fillId="5" borderId="6" xfId="0" applyFont="1" applyFill="1" applyBorder="1">
      <alignment vertical="center"/>
    </xf>
    <xf numFmtId="0" fontId="3" fillId="2" borderId="6" xfId="0" applyFont="1" applyFill="1" applyBorder="1">
      <alignment vertical="center"/>
    </xf>
    <xf numFmtId="0" fontId="3" fillId="8" borderId="8" xfId="0" applyFont="1" applyFill="1" applyBorder="1">
      <alignment vertical="center"/>
    </xf>
    <xf numFmtId="165" fontId="0" fillId="0" borderId="0" xfId="0" applyNumberFormat="1">
      <alignment vertical="center"/>
    </xf>
    <xf numFmtId="0" fontId="2" fillId="8" borderId="7" xfId="0" applyFont="1" applyFill="1" applyBorder="1">
      <alignment vertical="center"/>
    </xf>
    <xf numFmtId="0" fontId="7" fillId="6" borderId="3" xfId="0" applyFont="1" applyFill="1" applyBorder="1">
      <alignment vertical="center"/>
    </xf>
    <xf numFmtId="0" fontId="2" fillId="8" borderId="8" xfId="0" applyFont="1" applyFill="1" applyBorder="1">
      <alignment vertical="center"/>
    </xf>
    <xf numFmtId="0" fontId="0" fillId="9" borderId="13" xfId="1" applyFont="1" applyAlignment="1">
      <alignment vertical="center"/>
    </xf>
    <xf numFmtId="0" fontId="0" fillId="10" borderId="13" xfId="1" applyFont="1" applyFill="1" applyAlignment="1">
      <alignment vertical="center"/>
    </xf>
    <xf numFmtId="0" fontId="0" fillId="11" borderId="0" xfId="0" applyFill="1" applyBorder="1">
      <alignment vertical="center"/>
    </xf>
    <xf numFmtId="0" fontId="0" fillId="11" borderId="0" xfId="1" applyFont="1" applyFill="1" applyBorder="1" applyAlignment="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10" fontId="0" fillId="0" borderId="0" xfId="0" applyNumberFormat="1">
      <alignment vertical="center"/>
    </xf>
    <xf numFmtId="14" fontId="0" fillId="0" borderId="0" xfId="0" applyNumberFormat="1" applyAlignment="1">
      <alignment horizontal="left" vertical="center" indent="1"/>
    </xf>
    <xf numFmtId="0" fontId="8" fillId="0" borderId="0" xfId="0" applyFont="1" applyFill="1" applyAlignment="1">
      <alignment vertical="center"/>
    </xf>
    <xf numFmtId="0" fontId="6" fillId="0" borderId="0" xfId="0" applyFont="1" applyFill="1" applyAlignment="1">
      <alignment vertical="center" wrapText="1"/>
    </xf>
    <xf numFmtId="0" fontId="6" fillId="0" borderId="0" xfId="0" applyFont="1" applyFill="1" applyAlignment="1">
      <alignment vertical="center"/>
    </xf>
    <xf numFmtId="0" fontId="0" fillId="0" borderId="0" xfId="0" applyFill="1">
      <alignment vertical="center"/>
    </xf>
    <xf numFmtId="0" fontId="2" fillId="8" borderId="9" xfId="0" applyFont="1" applyFill="1" applyBorder="1">
      <alignment vertical="center"/>
    </xf>
    <xf numFmtId="0" fontId="2" fillId="0" borderId="0" xfId="0" applyFont="1" applyFill="1" applyBorder="1">
      <alignment vertical="center"/>
    </xf>
    <xf numFmtId="0" fontId="3" fillId="0" borderId="0" xfId="0" applyFont="1" applyFill="1" applyBorder="1">
      <alignment vertical="center"/>
    </xf>
    <xf numFmtId="166" fontId="0" fillId="0" borderId="0" xfId="0" applyNumberFormat="1">
      <alignment vertical="center"/>
    </xf>
    <xf numFmtId="1" fontId="0" fillId="2" borderId="1" xfId="0" applyNumberFormat="1" applyFill="1" applyBorder="1">
      <alignment vertical="center"/>
    </xf>
    <xf numFmtId="1" fontId="0" fillId="2" borderId="2" xfId="0" applyNumberFormat="1" applyFill="1" applyBorder="1">
      <alignment vertical="center"/>
    </xf>
    <xf numFmtId="0" fontId="1" fillId="2" borderId="6" xfId="0" applyFont="1" applyFill="1" applyBorder="1">
      <alignment vertical="center"/>
    </xf>
    <xf numFmtId="0" fontId="1" fillId="3" borderId="1" xfId="0" applyFont="1" applyFill="1" applyBorder="1">
      <alignment vertical="center"/>
    </xf>
    <xf numFmtId="0" fontId="3" fillId="3" borderId="1" xfId="0" applyFont="1" applyFill="1" applyBorder="1">
      <alignment vertical="center"/>
    </xf>
    <xf numFmtId="0" fontId="0" fillId="3" borderId="1" xfId="0" applyFill="1" applyBorder="1">
      <alignment vertical="center"/>
    </xf>
    <xf numFmtId="1" fontId="0" fillId="0" borderId="0" xfId="0" applyNumberFormat="1">
      <alignment vertical="center"/>
    </xf>
    <xf numFmtId="0" fontId="0" fillId="12" borderId="0" xfId="0" applyFill="1">
      <alignment vertical="center"/>
    </xf>
    <xf numFmtId="0" fontId="4" fillId="7" borderId="0" xfId="0" applyFont="1" applyFill="1" applyBorder="1" applyAlignment="1">
      <alignment horizontal="center" vertical="center"/>
    </xf>
    <xf numFmtId="0" fontId="6" fillId="4" borderId="0" xfId="0" applyFont="1" applyFill="1" applyAlignment="1">
      <alignment horizontal="center" vertical="center"/>
    </xf>
    <xf numFmtId="0" fontId="8" fillId="3" borderId="0" xfId="0" pivotButton="1" applyFont="1" applyFill="1" applyAlignment="1">
      <alignment horizontal="center" vertical="center"/>
    </xf>
    <xf numFmtId="0" fontId="8" fillId="3" borderId="0" xfId="0" applyFont="1" applyFill="1" applyAlignment="1">
      <alignment horizontal="center" vertical="center"/>
    </xf>
    <xf numFmtId="0" fontId="6" fillId="2" borderId="0" xfId="0" pivotButton="1" applyFont="1" applyFill="1" applyAlignment="1">
      <alignment horizontal="center" vertical="center" wrapText="1"/>
    </xf>
    <xf numFmtId="0" fontId="6" fillId="2" borderId="0" xfId="0" applyFont="1" applyFill="1" applyAlignment="1">
      <alignment horizontal="center" vertical="center" wrapText="1"/>
    </xf>
    <xf numFmtId="0" fontId="6" fillId="4" borderId="0" xfId="0" applyFont="1" applyFill="1" applyBorder="1" applyAlignment="1">
      <alignment horizontal="center" vertical="center"/>
    </xf>
    <xf numFmtId="0" fontId="6" fillId="2" borderId="0" xfId="0" applyFont="1" applyFill="1" applyAlignment="1">
      <alignment horizontal="center" vertical="center"/>
    </xf>
  </cellXfs>
  <cellStyles count="2">
    <cellStyle name="Normal" xfId="0" builtinId="0"/>
    <cellStyle name="Note" xfId="1" builtinId="10"/>
  </cellStyles>
  <dxfs count="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7" tint="0.79998168889431442"/>
        </patternFill>
      </fill>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5" tint="0.59999389629810485"/>
        </patternFill>
      </fill>
      <border diagonalUp="0" diagonalDown="0">
        <left style="thin">
          <color indexed="64"/>
        </left>
        <right style="thin">
          <color indexed="64"/>
        </right>
        <top style="thin">
          <color indexed="64"/>
        </top>
        <bottom style="thin">
          <color indexed="64"/>
        </bottom>
        <vertical/>
        <horizontal/>
      </border>
    </dxf>
    <dxf>
      <numFmt numFmtId="1" formatCode="0"/>
      <fill>
        <patternFill patternType="solid">
          <fgColor indexed="64"/>
          <bgColor theme="5"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9" tint="0.39997558519241921"/>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9" tint="0.39997558519241921"/>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39997558519241921"/>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rder>
    </dxf>
    <dxf>
      <border outline="0">
        <bottom style="thin">
          <color indexed="64"/>
        </bottom>
      </border>
    </dxf>
    <dxf>
      <numFmt numFmtId="166" formatCode="_(&quot;$&quot;* #,##0_);_(&quot;$&quot;* \(#,##0\);_(&quot;$&quot;* &quot;-&quot;??_);_(@_)"/>
    </dxf>
    <dxf>
      <numFmt numFmtId="166" formatCode="_(&quot;$&quot;* #,##0_);_(&quot;$&quot;* \(#,##0\);_(&quot;$&quot;* &quot;-&quot;??_);_(@_)"/>
    </dxf>
    <dxf>
      <numFmt numFmtId="166" formatCode="_(&quot;$&quot;* #,##0_);_(&quot;$&quot;* \(#,##0\);_(&quot;$&quot;* &quot;-&quot;??_);_(@_)"/>
    </dxf>
    <dxf>
      <numFmt numFmtId="1" formatCode="0"/>
    </dxf>
    <dxf>
      <numFmt numFmtId="166" formatCode="_(&quot;$&quot;* #,##0_);_(&quot;$&quot;* \(#,##0\);_(&quot;$&quot;* &quot;-&quot;??_);_(@_)"/>
    </dxf>
    <dxf>
      <numFmt numFmtId="1" formatCode="0"/>
    </dxf>
    <dxf>
      <numFmt numFmtId="1" formatCode="0"/>
    </dxf>
    <dxf>
      <numFmt numFmtId="1" formatCode="0"/>
    </dxf>
    <dxf>
      <numFmt numFmtId="1" formatCode="0"/>
    </dxf>
    <dxf>
      <numFmt numFmtId="1" formatCode="0"/>
    </dxf>
    <dxf>
      <numFmt numFmtId="166" formatCode="_(&quot;$&quot;* #,##0_);_(&quot;$&quot;* \(#,##0\);_(&quot;$&quot;* &quot;-&quot;??_);_(@_)"/>
    </dxf>
    <dxf>
      <numFmt numFmtId="1" formatCode="0"/>
    </dxf>
    <dxf>
      <numFmt numFmtId="1" formatCode="0"/>
    </dxf>
    <dxf>
      <numFmt numFmtId="165" formatCode="0.0"/>
    </dxf>
    <dxf>
      <numFmt numFmtId="166" formatCode="_(&quot;$&quot;* #,##0_);_(&quot;$&quot;* \(#,##0\);_(&quot;$&quot;* &quot;-&quot;??_);_(@_)"/>
    </dxf>
    <dxf>
      <font>
        <b/>
        <i val="0"/>
        <sz val="22"/>
        <color theme="0"/>
        <name val="Arial"/>
        <family val="2"/>
        <scheme val="none"/>
      </font>
      <fill>
        <patternFill patternType="solid">
          <fgColor rgb="FF000066"/>
          <bgColor rgb="FF002060"/>
        </patternFill>
      </fill>
      <border>
        <left style="double">
          <color rgb="FF21FAFF"/>
        </left>
        <right style="double">
          <color rgb="FF21FAFF"/>
        </right>
        <top style="double">
          <color rgb="FF21FAFF"/>
        </top>
        <bottom style="double">
          <color rgb="FF21FAFF"/>
        </bottom>
      </border>
    </dxf>
    <dxf>
      <fill>
        <patternFill>
          <bgColor theme="8" tint="-0.499984740745262"/>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3" defaultTableStyle="TableStyleMedium2" defaultPivotStyle="PivotStyleLight16">
    <tableStyle name="TableStylePreset3_Accent1" pivot="0" count="7" xr9:uid="{59DB682C-5494-4EDE-A608-00C9E5F0F923}">
      <tableStyleElement type="wholeTable" dxfId="62"/>
      <tableStyleElement type="headerRow" dxfId="61"/>
      <tableStyleElement type="totalRow" dxfId="60"/>
      <tableStyleElement type="firstColumn" dxfId="59"/>
      <tableStyleElement type="lastColumn" dxfId="58"/>
      <tableStyleElement type="firstRowStripe" dxfId="57"/>
      <tableStyleElement type="firstColumnStripe" dxfId="56"/>
    </tableStyle>
    <tableStyle name="PivotStylePreset2_Accent1" table="0" count="10" xr9:uid="{267968C8-6FFD-4C36-ACC1-9EA1FD1885CA}">
      <tableStyleElement type="headerRow" dxfId="55"/>
      <tableStyleElement type="totalRow" dxfId="54"/>
      <tableStyleElement type="firstRowStripe" dxfId="53"/>
      <tableStyleElement type="firstColumnStripe" dxfId="52"/>
      <tableStyleElement type="firstSubtotalRow" dxfId="51"/>
      <tableStyleElement type="secondSubtotalRow" dxfId="50"/>
      <tableStyleElement type="firstRowSubheading" dxfId="49"/>
      <tableStyleElement type="secondRowSubheading" dxfId="48"/>
      <tableStyleElement type="pageFieldLabels" dxfId="47"/>
      <tableStyleElement type="pageFieldValues" dxfId="46"/>
    </tableStyle>
    <tableStyle name="Slicer Style 1" pivot="0" table="0" count="8" xr9:uid="{FDE40960-C5EB-4B08-A1F8-B92FF5E889E8}">
      <tableStyleElement type="wholeTable" dxfId="45"/>
      <tableStyleElement type="headerRow" dxfId="44"/>
    </tableStyle>
  </tableStyles>
  <colors>
    <mruColors>
      <color rgb="FF3F7979"/>
      <color rgb="FF0307A5"/>
      <color rgb="FF243C72"/>
      <color rgb="FF00AEC0"/>
      <color rgb="FF267038"/>
      <color rgb="FF2E5F8A"/>
      <color rgb="FF21FAFF"/>
      <color rgb="FF003344"/>
      <color rgb="FF000066"/>
      <color rgb="FF00E5FF"/>
    </mruColors>
  </colors>
  <extLst>
    <ext xmlns:x14="http://schemas.microsoft.com/office/spreadsheetml/2009/9/main" uri="{46F421CA-312F-682f-3DD2-61675219B42D}">
      <x14:dxfs count="6">
        <dxf>
          <fill>
            <patternFill>
              <bgColor rgb="FF002060"/>
            </patternFill>
          </fill>
        </dxf>
        <dxf>
          <fill>
            <patternFill>
              <bgColor rgb="FF2E5F8A"/>
            </patternFill>
          </fill>
        </dxf>
        <dxf>
          <font>
            <b/>
            <i val="0"/>
            <color theme="0"/>
            <name val="Arial Rounded MT Bold"/>
            <family val="2"/>
            <scheme val="none"/>
          </font>
          <fill>
            <patternFill>
              <bgColor rgb="FF0070C0"/>
            </patternFill>
          </fill>
        </dxf>
        <dxf>
          <font>
            <b/>
            <i val="0"/>
            <sz val="22"/>
            <color rgb="FF002060"/>
            <name val="Arial Rounded MT Bold"/>
            <family val="2"/>
            <scheme val="none"/>
          </font>
          <fill>
            <patternFill>
              <bgColor rgb="FF00AEC0"/>
            </patternFill>
          </fill>
        </dxf>
        <dxf>
          <font>
            <color theme="0"/>
          </font>
        </dxf>
        <dxf>
          <font>
            <color rgb="FF003344"/>
          </font>
          <fill>
            <patternFill>
              <bgColor rgb="FF1E3A5F"/>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(Repaired)2 (version 1) (Recovered) (Repaired)  3333 (Repaired) (Repaired).xlsx]Pivot Tables!PivotTable14</c:name>
    <c:fmtId val="17"/>
  </c:pivotSource>
  <c:chart>
    <c:title>
      <c:tx>
        <c:rich>
          <a:bodyPr rot="0" spcFirstLastPara="1" vertOverflow="ellipsis" vert="horz" wrap="square" anchor="ctr" anchorCtr="1"/>
          <a:lstStyle/>
          <a:p>
            <a:pPr algn="l">
              <a:defRPr sz="2000" b="0" i="0" u="none" strike="noStrike" kern="1200" spc="0" baseline="0">
                <a:solidFill>
                  <a:schemeClr val="bg1"/>
                </a:solidFill>
                <a:latin typeface="Arial Black" panose="020B0A04020102020204" pitchFamily="34" charset="0"/>
                <a:ea typeface="+mn-ea"/>
                <a:cs typeface="Arial" panose="020B0604020202020204" pitchFamily="34" charset="0"/>
              </a:defRPr>
            </a:pPr>
            <a:r>
              <a:rPr lang="en-US" sz="2000" b="1">
                <a:solidFill>
                  <a:srgbClr val="21FAFF"/>
                </a:solidFill>
                <a:latin typeface="Arial Black" panose="020B0A04020102020204" pitchFamily="34" charset="0"/>
                <a:cs typeface="Arial" panose="020B0604020202020204" pitchFamily="34" charset="0"/>
              </a:rPr>
              <a:t>Broducts</a:t>
            </a:r>
            <a:r>
              <a:rPr lang="en-US" sz="2000" b="1" baseline="0">
                <a:solidFill>
                  <a:schemeClr val="bg1"/>
                </a:solidFill>
                <a:latin typeface="Arial Black" panose="020B0A04020102020204" pitchFamily="34" charset="0"/>
                <a:cs typeface="Arial" panose="020B0604020202020204" pitchFamily="34" charset="0"/>
              </a:rPr>
              <a:t>&amp;Revenue</a:t>
            </a:r>
            <a:endParaRPr lang="en-US" sz="2000" b="1">
              <a:solidFill>
                <a:schemeClr val="bg1"/>
              </a:solidFill>
              <a:latin typeface="Arial Black" panose="020B0A04020102020204" pitchFamily="34" charset="0"/>
              <a:cs typeface="Arial" panose="020B0604020202020204" pitchFamily="34" charset="0"/>
            </a:endParaRPr>
          </a:p>
        </c:rich>
      </c:tx>
      <c:layout>
        <c:manualLayout>
          <c:xMode val="edge"/>
          <c:yMode val="edge"/>
          <c:x val="1.3061702588525173E-3"/>
          <c:y val="1.0768387033691753E-3"/>
        </c:manualLayout>
      </c:layout>
      <c:overlay val="0"/>
      <c:spPr>
        <a:noFill/>
        <a:ln>
          <a:noFill/>
        </a:ln>
        <a:effectLst/>
      </c:spPr>
      <c:txPr>
        <a:bodyPr rot="0" spcFirstLastPara="1" vertOverflow="ellipsis" vert="horz" wrap="square" anchor="ctr" anchorCtr="1"/>
        <a:lstStyle/>
        <a:p>
          <a:pPr algn="l">
            <a:defRPr sz="2000" b="0" i="0" u="none" strike="noStrike" kern="1200" spc="0" baseline="0">
              <a:solidFill>
                <a:schemeClr val="bg1"/>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92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296"/>
          </a:solidFill>
          <a:ln>
            <a:noFill/>
          </a:ln>
          <a:effectLst/>
        </c:spPr>
      </c:pivotFmt>
      <c:pivotFmt>
        <c:idx val="4"/>
        <c:spPr>
          <a:solidFill>
            <a:srgbClr val="009296"/>
          </a:solidFill>
          <a:ln>
            <a:noFill/>
          </a:ln>
          <a:effectLst/>
        </c:spPr>
      </c:pivotFmt>
      <c:pivotFmt>
        <c:idx val="5"/>
        <c:spPr>
          <a:solidFill>
            <a:schemeClr val="accent5">
              <a:lumMod val="75000"/>
            </a:schemeClr>
          </a:solidFill>
          <a:ln>
            <a:noFill/>
          </a:ln>
          <a:effectLst/>
        </c:spPr>
      </c:pivotFmt>
      <c:pivotFmt>
        <c:idx val="6"/>
        <c:spPr>
          <a:solidFill>
            <a:schemeClr val="accent5">
              <a:lumMod val="75000"/>
            </a:schemeClr>
          </a:solidFill>
          <a:ln>
            <a:noFill/>
          </a:ln>
          <a:effectLst/>
        </c:spPr>
      </c:pivotFmt>
      <c:pivotFmt>
        <c:idx val="7"/>
        <c:spPr>
          <a:solidFill>
            <a:srgbClr val="009296"/>
          </a:solidFill>
          <a:ln>
            <a:noFill/>
          </a:ln>
          <a:effectLst/>
        </c:spPr>
      </c:pivotFmt>
      <c:pivotFmt>
        <c:idx val="8"/>
        <c:spPr>
          <a:solidFill>
            <a:srgbClr val="009296"/>
          </a:solidFill>
          <a:ln>
            <a:noFill/>
          </a:ln>
          <a:effectLst>
            <a:glow rad="266700">
              <a:schemeClr val="accent1">
                <a:lumMod val="75000"/>
                <a:alpha val="26000"/>
              </a:schemeClr>
            </a:glow>
            <a:outerShdw blurRad="431800" dist="190500" dir="1080000" algn="ctr" rotWithShape="0">
              <a:schemeClr val="tx1">
                <a:alpha val="21000"/>
              </a:schemeClr>
            </a:outerShdw>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a:glow rad="266700">
              <a:schemeClr val="accent1">
                <a:lumMod val="75000"/>
                <a:alpha val="26000"/>
              </a:schemeClr>
            </a:glow>
            <a:outerShdw blurRad="431800" dist="190500" dir="1080000" algn="ctr" rotWithShape="0">
              <a:schemeClr val="tx1">
                <a:alpha val="21000"/>
              </a:schemeClr>
            </a:outerShdw>
            <a:softEdge rad="0"/>
          </a:effectLst>
          <a:scene3d>
            <a:camera prst="orthographicFront"/>
            <a:lightRig rig="threePt" dir="t"/>
          </a:scene3d>
          <a:sp3d/>
        </c:spPr>
      </c:pivotFmt>
      <c:pivotFmt>
        <c:idx val="10"/>
        <c:spPr>
          <a:solidFill>
            <a:schemeClr val="accent5">
              <a:lumMod val="75000"/>
            </a:schemeClr>
          </a:solidFill>
          <a:ln>
            <a:noFill/>
          </a:ln>
          <a:effectLst>
            <a:glow rad="266700">
              <a:schemeClr val="accent1">
                <a:lumMod val="75000"/>
                <a:alpha val="26000"/>
              </a:schemeClr>
            </a:glow>
            <a:outerShdw blurRad="431800" dist="190500" dir="1080000" algn="ctr" rotWithShape="0">
              <a:schemeClr val="tx1">
                <a:alpha val="21000"/>
              </a:schemeClr>
            </a:outerShdw>
            <a:softEdge rad="0"/>
          </a:effectLst>
          <a:scene3d>
            <a:camera prst="orthographicFront"/>
            <a:lightRig rig="threePt" dir="t"/>
          </a:scene3d>
          <a:sp3d/>
        </c:spPr>
      </c:pivotFmt>
    </c:pivotFmts>
    <c:plotArea>
      <c:layout/>
      <c:barChart>
        <c:barDir val="col"/>
        <c:grouping val="clustered"/>
        <c:varyColors val="0"/>
        <c:ser>
          <c:idx val="0"/>
          <c:order val="0"/>
          <c:tx>
            <c:strRef>
              <c:f>'Pivot Tables'!$D$3</c:f>
              <c:strCache>
                <c:ptCount val="1"/>
                <c:pt idx="0">
                  <c:v>Total</c:v>
                </c:pt>
              </c:strCache>
            </c:strRef>
          </c:tx>
          <c:spPr>
            <a:solidFill>
              <a:srgbClr val="009296"/>
            </a:solidFill>
            <a:ln>
              <a:noFill/>
            </a:ln>
            <a:effectLst>
              <a:glow rad="266700">
                <a:schemeClr val="accent1">
                  <a:lumMod val="75000"/>
                  <a:alpha val="26000"/>
                </a:schemeClr>
              </a:glow>
              <a:outerShdw blurRad="431800" dist="190500" dir="1080000" algn="ctr" rotWithShape="0">
                <a:schemeClr val="tx1">
                  <a:alpha val="21000"/>
                </a:schemeClr>
              </a:outerShdw>
              <a:softEdge rad="0"/>
            </a:effectLst>
            <a:scene3d>
              <a:camera prst="orthographicFront"/>
              <a:lightRig rig="threePt" dir="t"/>
            </a:scene3d>
            <a:sp3d/>
          </c:spPr>
          <c:invertIfNegative val="0"/>
          <c:dPt>
            <c:idx val="1"/>
            <c:invertIfNegative val="0"/>
            <c:bubble3D val="0"/>
            <c:extLst>
              <c:ext xmlns:c16="http://schemas.microsoft.com/office/drawing/2014/chart" uri="{C3380CC4-5D6E-409C-BE32-E72D297353CC}">
                <c16:uniqueId val="{00000001-DE9B-49A7-A501-C45DD45492F2}"/>
              </c:ext>
            </c:extLst>
          </c:dPt>
          <c:dPt>
            <c:idx val="2"/>
            <c:invertIfNegative val="0"/>
            <c:bubble3D val="0"/>
            <c:extLst>
              <c:ext xmlns:c16="http://schemas.microsoft.com/office/drawing/2014/chart" uri="{C3380CC4-5D6E-409C-BE32-E72D297353CC}">
                <c16:uniqueId val="{00000002-B1E4-4886-88CC-B48DCFCDE0CD}"/>
              </c:ext>
            </c:extLst>
          </c:dPt>
          <c:dPt>
            <c:idx val="3"/>
            <c:invertIfNegative val="0"/>
            <c:bubble3D val="0"/>
            <c:spPr>
              <a:solidFill>
                <a:schemeClr val="accent5">
                  <a:lumMod val="75000"/>
                </a:schemeClr>
              </a:solidFill>
              <a:ln>
                <a:noFill/>
              </a:ln>
              <a:effectLst>
                <a:glow rad="266700">
                  <a:schemeClr val="accent1">
                    <a:lumMod val="75000"/>
                    <a:alpha val="26000"/>
                  </a:schemeClr>
                </a:glow>
                <a:outerShdw blurRad="431800" dist="190500" dir="1080000" algn="ctr" rotWithShape="0">
                  <a:schemeClr val="tx1">
                    <a:alpha val="21000"/>
                  </a:schemeClr>
                </a:outerShdw>
                <a:softEdge rad="0"/>
              </a:effectLst>
              <a:scene3d>
                <a:camera prst="orthographicFront"/>
                <a:lightRig rig="threePt" dir="t"/>
              </a:scene3d>
              <a:sp3d/>
            </c:spPr>
            <c:extLst>
              <c:ext xmlns:c16="http://schemas.microsoft.com/office/drawing/2014/chart" uri="{C3380CC4-5D6E-409C-BE32-E72D297353CC}">
                <c16:uniqueId val="{00000003-DE9B-49A7-A501-C45DD45492F2}"/>
              </c:ext>
            </c:extLst>
          </c:dPt>
          <c:dPt>
            <c:idx val="4"/>
            <c:invertIfNegative val="0"/>
            <c:bubble3D val="0"/>
            <c:spPr>
              <a:solidFill>
                <a:schemeClr val="accent5">
                  <a:lumMod val="75000"/>
                </a:schemeClr>
              </a:solidFill>
              <a:ln>
                <a:noFill/>
              </a:ln>
              <a:effectLst>
                <a:glow rad="266700">
                  <a:schemeClr val="accent1">
                    <a:lumMod val="75000"/>
                    <a:alpha val="26000"/>
                  </a:schemeClr>
                </a:glow>
                <a:outerShdw blurRad="431800" dist="190500" dir="1080000" algn="ctr" rotWithShape="0">
                  <a:schemeClr val="tx1">
                    <a:alpha val="21000"/>
                  </a:schemeClr>
                </a:outerShdw>
                <a:softEdge rad="0"/>
              </a:effectLst>
              <a:scene3d>
                <a:camera prst="orthographicFront"/>
                <a:lightRig rig="threePt" dir="t"/>
              </a:scene3d>
              <a:sp3d/>
            </c:spPr>
            <c:extLst>
              <c:ext xmlns:c16="http://schemas.microsoft.com/office/drawing/2014/chart" uri="{C3380CC4-5D6E-409C-BE32-E72D297353CC}">
                <c16:uniqueId val="{00000005-B1E4-4886-88CC-B48DCFCDE0CD}"/>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Tables'!$C$4:$C$8</c:f>
              <c:strCache>
                <c:ptCount val="5"/>
                <c:pt idx="0">
                  <c:v>Comics</c:v>
                </c:pt>
                <c:pt idx="1">
                  <c:v>Basketball</c:v>
                </c:pt>
                <c:pt idx="2">
                  <c:v>Jeans</c:v>
                </c:pt>
                <c:pt idx="3">
                  <c:v>Lamp</c:v>
                </c:pt>
                <c:pt idx="4">
                  <c:v>shoes</c:v>
                </c:pt>
              </c:strCache>
            </c:strRef>
          </c:cat>
          <c:val>
            <c:numRef>
              <c:f>'Pivot Tables'!$D$4:$D$8</c:f>
              <c:numCache>
                <c:formatCode>0</c:formatCode>
                <c:ptCount val="5"/>
                <c:pt idx="0">
                  <c:v>6629.68</c:v>
                </c:pt>
                <c:pt idx="1">
                  <c:v>6666.48</c:v>
                </c:pt>
                <c:pt idx="2">
                  <c:v>6674.67</c:v>
                </c:pt>
                <c:pt idx="3">
                  <c:v>8069.73</c:v>
                </c:pt>
                <c:pt idx="4">
                  <c:v>18219</c:v>
                </c:pt>
              </c:numCache>
            </c:numRef>
          </c:val>
          <c:extLst>
            <c:ext xmlns:c16="http://schemas.microsoft.com/office/drawing/2014/chart" uri="{C3380CC4-5D6E-409C-BE32-E72D297353CC}">
              <c16:uniqueId val="{00000000-DE9B-49A7-A501-C45DD45492F2}"/>
            </c:ext>
          </c:extLst>
        </c:ser>
        <c:dLbls>
          <c:showLegendKey val="0"/>
          <c:showVal val="0"/>
          <c:showCatName val="0"/>
          <c:showSerName val="0"/>
          <c:showPercent val="0"/>
          <c:showBubbleSize val="0"/>
        </c:dLbls>
        <c:gapWidth val="219"/>
        <c:overlap val="-27"/>
        <c:axId val="866703375"/>
        <c:axId val="1191200367"/>
      </c:barChart>
      <c:catAx>
        <c:axId val="86670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191200367"/>
        <c:crosses val="autoZero"/>
        <c:auto val="1"/>
        <c:lblAlgn val="ctr"/>
        <c:lblOffset val="100"/>
        <c:noMultiLvlLbl val="0"/>
      </c:catAx>
      <c:valAx>
        <c:axId val="11912003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86670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8100" cap="flat" cmpd="sng" algn="ctr">
      <a:noFill/>
      <a:round/>
    </a:ln>
    <a:effectLst>
      <a:glow>
        <a:schemeClr val="bg1">
          <a:alpha val="99000"/>
        </a:schemeClr>
      </a:glow>
      <a:outerShdw sx="1000" sy="1000" algn="tl" rotWithShape="0">
        <a:schemeClr val="tx1"/>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(Repaired)2 (version 1) (Recovered) (Repaired)  3333 (Repaired) (Repaired).xlsx]Pivot Tables!PivotTable4</c:name>
    <c:fmtId val="14"/>
  </c:pivotSource>
  <c:chart>
    <c:title>
      <c:tx>
        <c:rich>
          <a:bodyPr rot="0" spcFirstLastPara="1" vertOverflow="ellipsis" vert="horz" wrap="square" anchor="ctr" anchorCtr="1"/>
          <a:lstStyle/>
          <a:p>
            <a:pPr>
              <a:defRPr sz="2000" b="1" i="0" u="none" strike="noStrike" kern="1200" spc="0" baseline="0">
                <a:solidFill>
                  <a:schemeClr val="bg1"/>
                </a:solidFill>
                <a:latin typeface="Arial Black" panose="020B0A04020102020204" pitchFamily="34" charset="0"/>
                <a:ea typeface="+mn-ea"/>
                <a:cs typeface="+mn-cs"/>
              </a:defRPr>
            </a:pPr>
            <a:r>
              <a:rPr lang="en-US" sz="2000" b="1">
                <a:solidFill>
                  <a:schemeClr val="bg1"/>
                </a:solidFill>
                <a:latin typeface="Arial Black" panose="020B0A04020102020204" pitchFamily="34" charset="0"/>
              </a:rPr>
              <a:t>Revenue&amp;</a:t>
            </a:r>
            <a:r>
              <a:rPr lang="en-US" sz="2000" b="1">
                <a:solidFill>
                  <a:srgbClr val="21FAFF"/>
                </a:solidFill>
                <a:latin typeface="Arial Black" panose="020B0A04020102020204" pitchFamily="34" charset="0"/>
              </a:rPr>
              <a:t>Bayment MTH</a:t>
            </a:r>
          </a:p>
        </c:rich>
      </c:tx>
      <c:layout>
        <c:manualLayout>
          <c:xMode val="edge"/>
          <c:yMode val="edge"/>
          <c:x val="3.4204078565922528E-4"/>
          <c:y val="1.817043336748454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009296"/>
          </a:solidFill>
          <a:ln>
            <a:noFill/>
          </a:ln>
          <a:effectLst/>
          <a:sp3d/>
        </c:spPr>
        <c:marker>
          <c:symbol val="none"/>
        </c:marker>
      </c:pivotFmt>
      <c:pivotFmt>
        <c:idx val="3"/>
        <c:spPr>
          <a:solidFill>
            <a:srgbClr val="267038"/>
          </a:solidFill>
          <a:ln>
            <a:noFill/>
          </a:ln>
          <a:effectLst/>
          <a:sp3d/>
        </c:spPr>
      </c:pivotFmt>
      <c:pivotFmt>
        <c:idx val="4"/>
        <c:spPr>
          <a:solidFill>
            <a:srgbClr val="00929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67038"/>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Tables'!$B$15</c:f>
              <c:strCache>
                <c:ptCount val="1"/>
                <c:pt idx="0">
                  <c:v>Total</c:v>
                </c:pt>
              </c:strCache>
            </c:strRef>
          </c:tx>
          <c:spPr>
            <a:solidFill>
              <a:srgbClr val="009296"/>
            </a:solidFill>
            <a:ln>
              <a:noFill/>
            </a:ln>
            <a:effectLst/>
            <a:sp3d/>
          </c:spPr>
          <c:invertIfNegative val="0"/>
          <c:dPt>
            <c:idx val="0"/>
            <c:invertIfNegative val="0"/>
            <c:bubble3D val="0"/>
            <c:spPr>
              <a:solidFill>
                <a:srgbClr val="267038"/>
              </a:solidFill>
              <a:ln>
                <a:noFill/>
              </a:ln>
              <a:effectLst/>
              <a:sp3d/>
            </c:spPr>
            <c:extLst>
              <c:ext xmlns:c16="http://schemas.microsoft.com/office/drawing/2014/chart" uri="{C3380CC4-5D6E-409C-BE32-E72D297353CC}">
                <c16:uniqueId val="{00000001-5D94-44DA-A66D-A61BFB29F7FA}"/>
              </c:ext>
            </c:extLst>
          </c:dPt>
          <c:dPt>
            <c:idx val="1"/>
            <c:invertIfNegative val="0"/>
            <c:bubble3D val="0"/>
            <c:extLst>
              <c:ext xmlns:c16="http://schemas.microsoft.com/office/drawing/2014/chart" uri="{C3380CC4-5D6E-409C-BE32-E72D297353CC}">
                <c16:uniqueId val="{00000001-F10A-4BAE-9A10-7BF8FA294840}"/>
              </c:ext>
            </c:extLst>
          </c:dPt>
          <c:dPt>
            <c:idx val="3"/>
            <c:invertIfNegative val="0"/>
            <c:bubble3D val="0"/>
            <c:extLst>
              <c:ext xmlns:c16="http://schemas.microsoft.com/office/drawing/2014/chart" uri="{C3380CC4-5D6E-409C-BE32-E72D297353CC}">
                <c16:uniqueId val="{00000002-DFF7-4F91-ABA2-81114391E61A}"/>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4"/>
                <c:pt idx="0">
                  <c:v>Cash on Delivery</c:v>
                </c:pt>
                <c:pt idx="1">
                  <c:v>Credit Card</c:v>
                </c:pt>
                <c:pt idx="2">
                  <c:v>PayPal</c:v>
                </c:pt>
                <c:pt idx="3">
                  <c:v>Bank Transfer</c:v>
                </c:pt>
              </c:strCache>
            </c:strRef>
          </c:cat>
          <c:val>
            <c:numRef>
              <c:f>'Pivot Tables'!$B$16:$B$19</c:f>
              <c:numCache>
                <c:formatCode>0</c:formatCode>
                <c:ptCount val="4"/>
                <c:pt idx="0">
                  <c:v>20640.580000000002</c:v>
                </c:pt>
                <c:pt idx="1">
                  <c:v>20877.39</c:v>
                </c:pt>
                <c:pt idx="2">
                  <c:v>23122.740000000005</c:v>
                </c:pt>
                <c:pt idx="3">
                  <c:v>23125.160000000003</c:v>
                </c:pt>
              </c:numCache>
            </c:numRef>
          </c:val>
          <c:extLst>
            <c:ext xmlns:c16="http://schemas.microsoft.com/office/drawing/2014/chart" uri="{C3380CC4-5D6E-409C-BE32-E72D297353CC}">
              <c16:uniqueId val="{00000000-F10A-4BAE-9A10-7BF8FA294840}"/>
            </c:ext>
          </c:extLst>
        </c:ser>
        <c:dLbls>
          <c:showLegendKey val="0"/>
          <c:showVal val="1"/>
          <c:showCatName val="0"/>
          <c:showSerName val="0"/>
          <c:showPercent val="0"/>
          <c:showBubbleSize val="0"/>
        </c:dLbls>
        <c:gapWidth val="150"/>
        <c:shape val="box"/>
        <c:axId val="1259594175"/>
        <c:axId val="1191201615"/>
        <c:axId val="0"/>
      </c:bar3DChart>
      <c:catAx>
        <c:axId val="1259594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191201615"/>
        <c:crosses val="autoZero"/>
        <c:auto val="1"/>
        <c:lblAlgn val="ctr"/>
        <c:lblOffset val="100"/>
        <c:noMultiLvlLbl val="0"/>
      </c:catAx>
      <c:valAx>
        <c:axId val="1191201615"/>
        <c:scaling>
          <c:orientation val="minMax"/>
        </c:scaling>
        <c:delete val="0"/>
        <c:axPos val="b"/>
        <c:numFmt formatCode="00.0,\K"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25959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431800" dist="190500" dir="1080000" sx="1000" sy="1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(Repaired)2 (version 1) (Recovered) (Repaired)  3333 (Repaired) (Repaired).xlsx]Pivot Tables!PivotTable8</c:name>
    <c:fmtId val="7"/>
  </c:pivotSource>
  <c:chart>
    <c:title>
      <c:tx>
        <c:rich>
          <a:bodyPr rot="0" spcFirstLastPara="1" vertOverflow="ellipsis" vert="horz" wrap="square" anchor="ctr" anchorCtr="1"/>
          <a:lstStyle/>
          <a:p>
            <a:pPr>
              <a:defRPr sz="2000" b="1" i="0" u="none" strike="noStrike" kern="1200" spc="0" baseline="0">
                <a:solidFill>
                  <a:schemeClr val="bg1"/>
                </a:solidFill>
                <a:latin typeface="Arial Black" panose="020B0A04020102020204" pitchFamily="34" charset="0"/>
                <a:ea typeface="+mn-ea"/>
                <a:cs typeface="+mn-cs"/>
              </a:defRPr>
            </a:pPr>
            <a:r>
              <a:rPr lang="en-US" sz="2000" b="1">
                <a:solidFill>
                  <a:schemeClr val="bg1"/>
                </a:solidFill>
                <a:latin typeface="Arial Black" panose="020B0A04020102020204" pitchFamily="34" charset="0"/>
              </a:rPr>
              <a:t>Orders</a:t>
            </a:r>
            <a:r>
              <a:rPr lang="en-US" sz="2000" b="1" baseline="0">
                <a:solidFill>
                  <a:schemeClr val="bg1"/>
                </a:solidFill>
                <a:latin typeface="Arial Black" panose="020B0A04020102020204" pitchFamily="34" charset="0"/>
              </a:rPr>
              <a:t>&amp;</a:t>
            </a:r>
            <a:r>
              <a:rPr lang="en-US" sz="2000" b="1" baseline="0">
                <a:solidFill>
                  <a:srgbClr val="21FAFF"/>
                </a:solidFill>
                <a:latin typeface="Arial Black" panose="020B0A04020102020204" pitchFamily="34" charset="0"/>
              </a:rPr>
              <a:t>Status</a:t>
            </a:r>
            <a:endParaRPr lang="en-US" sz="2000" b="1">
              <a:solidFill>
                <a:srgbClr val="21FAFF"/>
              </a:solidFill>
              <a:latin typeface="Arial Black" panose="020B0A04020102020204" pitchFamily="34" charset="0"/>
            </a:endParaRPr>
          </a:p>
        </c:rich>
      </c:tx>
      <c:layout>
        <c:manualLayout>
          <c:xMode val="edge"/>
          <c:yMode val="edge"/>
          <c:x val="2.5394067703636124E-2"/>
          <c:y val="1.218947007548583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92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rgbClr val="009296"/>
          </a:solidFill>
          <a:ln>
            <a:noFill/>
          </a:ln>
          <a:effectLst/>
        </c:spPr>
      </c:pivotFmt>
      <c:pivotFmt>
        <c:idx val="5"/>
        <c:spPr>
          <a:solidFill>
            <a:schemeClr val="accent5">
              <a:lumMod val="75000"/>
            </a:schemeClr>
          </a:solidFill>
          <a:ln>
            <a:noFill/>
          </a:ln>
          <a:effectLst/>
        </c:spPr>
      </c:pivotFmt>
      <c:pivotFmt>
        <c:idx val="6"/>
        <c:spPr>
          <a:solidFill>
            <a:srgbClr val="009296"/>
          </a:solidFill>
          <a:ln>
            <a:noFill/>
          </a:ln>
          <a:effectLst/>
        </c:spPr>
      </c:pivotFmt>
      <c:pivotFmt>
        <c:idx val="7"/>
        <c:spPr>
          <a:solidFill>
            <a:srgbClr val="009296"/>
          </a:solidFill>
          <a:ln>
            <a:noFill/>
          </a:ln>
          <a:effectLst/>
        </c:spPr>
      </c:pivotFmt>
      <c:pivotFmt>
        <c:idx val="8"/>
        <c:spPr>
          <a:solidFill>
            <a:srgbClr val="009296"/>
          </a:solidFill>
          <a:ln>
            <a:noFill/>
          </a:ln>
          <a:effectLst>
            <a:outerShdw blurRad="431800" dist="190500" dir="108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a:outerShdw blurRad="431800" dist="190500" dir="1080000" algn="ctr" rotWithShape="0">
              <a:srgbClr val="000000">
                <a:alpha val="43137"/>
              </a:srgbClr>
            </a:outerShdw>
          </a:effectLst>
        </c:spPr>
      </c:pivotFmt>
      <c:pivotFmt>
        <c:idx val="10"/>
        <c:spPr>
          <a:solidFill>
            <a:schemeClr val="accent5">
              <a:lumMod val="75000"/>
            </a:schemeClr>
          </a:solidFill>
          <a:ln>
            <a:noFill/>
          </a:ln>
          <a:effectLst>
            <a:outerShdw blurRad="431800" dist="190500" dir="1080000" algn="ctr" rotWithShape="0">
              <a:srgbClr val="000000">
                <a:alpha val="43137"/>
              </a:srgbClr>
            </a:outerShdw>
          </a:effectLst>
        </c:spPr>
      </c:pivotFmt>
    </c:pivotFmts>
    <c:plotArea>
      <c:layout/>
      <c:barChart>
        <c:barDir val="col"/>
        <c:grouping val="clustered"/>
        <c:varyColors val="0"/>
        <c:ser>
          <c:idx val="0"/>
          <c:order val="0"/>
          <c:tx>
            <c:strRef>
              <c:f>'Pivot Tables'!$B$22</c:f>
              <c:strCache>
                <c:ptCount val="1"/>
                <c:pt idx="0">
                  <c:v>Total</c:v>
                </c:pt>
              </c:strCache>
            </c:strRef>
          </c:tx>
          <c:spPr>
            <a:solidFill>
              <a:srgbClr val="009296"/>
            </a:solidFill>
            <a:ln>
              <a:noFill/>
            </a:ln>
            <a:effectLst>
              <a:outerShdw blurRad="431800" dist="190500" dir="1080000" algn="ctr" rotWithShape="0">
                <a:srgbClr val="000000">
                  <a:alpha val="43137"/>
                </a:srgbClr>
              </a:outerShdw>
            </a:effectLst>
          </c:spPr>
          <c:invertIfNegative val="0"/>
          <c:dPt>
            <c:idx val="0"/>
            <c:invertIfNegative val="0"/>
            <c:bubble3D val="0"/>
            <c:extLst>
              <c:ext xmlns:c16="http://schemas.microsoft.com/office/drawing/2014/chart" uri="{C3380CC4-5D6E-409C-BE32-E72D297353CC}">
                <c16:uniqueId val="{00000001-87B1-4CEB-92A7-D9BB2CD3622D}"/>
              </c:ext>
            </c:extLst>
          </c:dPt>
          <c:dPt>
            <c:idx val="1"/>
            <c:invertIfNegative val="0"/>
            <c:bubble3D val="0"/>
            <c:spPr>
              <a:solidFill>
                <a:schemeClr val="accent5">
                  <a:lumMod val="75000"/>
                </a:schemeClr>
              </a:solidFill>
              <a:ln>
                <a:noFill/>
              </a:ln>
              <a:effectLst>
                <a:outerShdw blurRad="431800" dist="190500" dir="1080000" algn="ctr" rotWithShape="0">
                  <a:srgbClr val="000000">
                    <a:alpha val="43137"/>
                  </a:srgbClr>
                </a:outerShdw>
              </a:effectLst>
            </c:spPr>
            <c:extLst>
              <c:ext xmlns:c16="http://schemas.microsoft.com/office/drawing/2014/chart" uri="{C3380CC4-5D6E-409C-BE32-E72D297353CC}">
                <c16:uniqueId val="{00000003-8B60-4D77-A487-3EFE0B70F23C}"/>
              </c:ext>
            </c:extLst>
          </c:dPt>
          <c:dPt>
            <c:idx val="3"/>
            <c:invertIfNegative val="0"/>
            <c:bubble3D val="0"/>
            <c:spPr>
              <a:solidFill>
                <a:schemeClr val="accent5">
                  <a:lumMod val="75000"/>
                </a:schemeClr>
              </a:solidFill>
              <a:ln>
                <a:noFill/>
              </a:ln>
              <a:effectLst>
                <a:outerShdw blurRad="431800" dist="190500" dir="1080000" algn="ctr" rotWithShape="0">
                  <a:srgbClr val="000000">
                    <a:alpha val="43137"/>
                  </a:srgbClr>
                </a:outerShdw>
              </a:effectLst>
            </c:spPr>
            <c:extLst>
              <c:ext xmlns:c16="http://schemas.microsoft.com/office/drawing/2014/chart" uri="{C3380CC4-5D6E-409C-BE32-E72D297353CC}">
                <c16:uniqueId val="{00000001-8B60-4D77-A487-3EFE0B70F23C}"/>
              </c:ext>
            </c:extLst>
          </c:dPt>
          <c:dPt>
            <c:idx val="4"/>
            <c:invertIfNegative val="0"/>
            <c:bubble3D val="0"/>
            <c:extLst>
              <c:ext xmlns:c16="http://schemas.microsoft.com/office/drawing/2014/chart" uri="{C3380CC4-5D6E-409C-BE32-E72D297353CC}">
                <c16:uniqueId val="{00000005-87B1-4CEB-92A7-D9BB2CD3622D}"/>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Tables'!$A$23:$A$28</c:f>
              <c:strCache>
                <c:ptCount val="5"/>
                <c:pt idx="0">
                  <c:v>Cancelled</c:v>
                </c:pt>
                <c:pt idx="1">
                  <c:v>Delivered</c:v>
                </c:pt>
                <c:pt idx="2">
                  <c:v>Processing</c:v>
                </c:pt>
                <c:pt idx="3">
                  <c:v>Returned</c:v>
                </c:pt>
                <c:pt idx="4">
                  <c:v>Shipped</c:v>
                </c:pt>
              </c:strCache>
            </c:strRef>
          </c:cat>
          <c:val>
            <c:numRef>
              <c:f>'Pivot Tables'!$B$23:$B$28</c:f>
              <c:numCache>
                <c:formatCode>0.00%</c:formatCode>
                <c:ptCount val="5"/>
                <c:pt idx="0">
                  <c:v>0.15384615384615385</c:v>
                </c:pt>
                <c:pt idx="1">
                  <c:v>0.10989010989010989</c:v>
                </c:pt>
                <c:pt idx="2">
                  <c:v>0.24175824175824176</c:v>
                </c:pt>
                <c:pt idx="3">
                  <c:v>0.26373626373626374</c:v>
                </c:pt>
                <c:pt idx="4">
                  <c:v>0.23076923076923078</c:v>
                </c:pt>
              </c:numCache>
            </c:numRef>
          </c:val>
          <c:extLst>
            <c:ext xmlns:c16="http://schemas.microsoft.com/office/drawing/2014/chart" uri="{C3380CC4-5D6E-409C-BE32-E72D297353CC}">
              <c16:uniqueId val="{00000000-8B60-4D77-A487-3EFE0B70F23C}"/>
            </c:ext>
          </c:extLst>
        </c:ser>
        <c:dLbls>
          <c:showLegendKey val="0"/>
          <c:showVal val="0"/>
          <c:showCatName val="0"/>
          <c:showSerName val="0"/>
          <c:showPercent val="0"/>
          <c:showBubbleSize val="0"/>
        </c:dLbls>
        <c:gapWidth val="219"/>
        <c:overlap val="-27"/>
        <c:axId val="1262548367"/>
        <c:axId val="1260917647"/>
      </c:barChart>
      <c:catAx>
        <c:axId val="126254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260917647"/>
        <c:crosses val="autoZero"/>
        <c:auto val="1"/>
        <c:lblAlgn val="ctr"/>
        <c:lblOffset val="100"/>
        <c:noMultiLvlLbl val="0"/>
      </c:catAx>
      <c:valAx>
        <c:axId val="12609176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26254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431800" dist="190500" dir="1080000" sx="1000" sy="1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(Repaired)2 (version 1) (Recovered) (Repaired)  3333 (Repaired) (Repaired).xlsx]Pivot Tables!PivotTable9</c:name>
    <c:fmtId val="6"/>
  </c:pivotSource>
  <c:chart>
    <c:title>
      <c:tx>
        <c:rich>
          <a:bodyPr rot="0" spcFirstLastPara="1" vertOverflow="ellipsis" vert="horz" wrap="square" anchor="ctr" anchorCtr="1"/>
          <a:lstStyle/>
          <a:p>
            <a:pPr>
              <a:defRPr sz="2000" b="1" i="0" u="none" strike="noStrike" kern="1200" spc="0" baseline="0">
                <a:solidFill>
                  <a:schemeClr val="bg1"/>
                </a:solidFill>
                <a:latin typeface="Arial Black" panose="020B0A04020102020204" pitchFamily="34" charset="0"/>
                <a:ea typeface="+mn-ea"/>
                <a:cs typeface="+mn-cs"/>
              </a:defRPr>
            </a:pPr>
            <a:r>
              <a:rPr lang="en-US" sz="2000" b="1">
                <a:solidFill>
                  <a:schemeClr val="bg1"/>
                </a:solidFill>
                <a:latin typeface="Arial Black" panose="020B0A04020102020204" pitchFamily="34" charset="0"/>
              </a:rPr>
              <a:t>Order</a:t>
            </a:r>
            <a:r>
              <a:rPr lang="en-US" sz="2000" b="1" baseline="0">
                <a:solidFill>
                  <a:schemeClr val="bg1"/>
                </a:solidFill>
                <a:latin typeface="Arial Black" panose="020B0A04020102020204" pitchFamily="34" charset="0"/>
              </a:rPr>
              <a:t> </a:t>
            </a:r>
            <a:r>
              <a:rPr lang="en-US" sz="2000" b="1" baseline="0">
                <a:solidFill>
                  <a:srgbClr val="21FAFF"/>
                </a:solidFill>
                <a:latin typeface="Arial Black" panose="020B0A04020102020204" pitchFamily="34" charset="0"/>
              </a:rPr>
              <a:t>Date</a:t>
            </a:r>
            <a:endParaRPr lang="en-US" sz="2000" b="1">
              <a:solidFill>
                <a:srgbClr val="21FAFF"/>
              </a:solidFill>
              <a:latin typeface="Arial Black" panose="020B0A04020102020204" pitchFamily="34" charset="0"/>
            </a:endParaRPr>
          </a:p>
        </c:rich>
      </c:tx>
      <c:layout>
        <c:manualLayout>
          <c:xMode val="edge"/>
          <c:yMode val="edge"/>
          <c:x val="2.3784389367436452E-2"/>
          <c:y val="1.6306208092285496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76200" cap="rnd" cmpd="tri">
            <a:solidFill>
              <a:srgbClr val="21FAFF"/>
            </a:solidFill>
            <a:round/>
            <a:headEnd type="oval" w="lg" len="lg"/>
            <a:tailEnd type="triangle" w="lg" len="lg"/>
          </a:ln>
          <a:effectLst/>
        </c:spPr>
        <c:marker>
          <c:symbol val="none"/>
        </c:marker>
      </c:pivotFmt>
      <c:pivotFmt>
        <c:idx val="3"/>
        <c:spPr>
          <a:ln w="76200" cap="rnd" cmpd="tri">
            <a:solidFill>
              <a:srgbClr val="21FAFF"/>
            </a:solidFill>
            <a:prstDash val="solid"/>
            <a:round/>
            <a:headEnd type="oval" w="lg" len="lg"/>
            <a:tailEnd type="triangle" w="lg" len="lg"/>
          </a:ln>
          <a:effectLst>
            <a:glow rad="241300">
              <a:schemeClr val="accent1">
                <a:lumMod val="75000"/>
                <a:alpha val="31000"/>
              </a:schemeClr>
            </a:glow>
            <a:outerShdw blurRad="431800" dist="190500" dir="1080000" algn="ctr" rotWithShape="0">
              <a:srgbClr val="000000">
                <a:alpha val="40000"/>
              </a:srgbClr>
            </a:outerShdw>
          </a:effectLst>
        </c:spPr>
        <c:marker>
          <c:symbol val="none"/>
        </c:marker>
      </c:pivotFmt>
    </c:pivotFmts>
    <c:plotArea>
      <c:layout/>
      <c:lineChart>
        <c:grouping val="standard"/>
        <c:varyColors val="0"/>
        <c:ser>
          <c:idx val="0"/>
          <c:order val="0"/>
          <c:tx>
            <c:strRef>
              <c:f>'Pivot Tables'!$K$19</c:f>
              <c:strCache>
                <c:ptCount val="1"/>
                <c:pt idx="0">
                  <c:v>Total</c:v>
                </c:pt>
              </c:strCache>
            </c:strRef>
          </c:tx>
          <c:spPr>
            <a:ln w="76200" cap="rnd" cmpd="tri">
              <a:solidFill>
                <a:srgbClr val="21FAFF"/>
              </a:solidFill>
              <a:prstDash val="solid"/>
              <a:round/>
              <a:headEnd type="oval" w="lg" len="lg"/>
              <a:tailEnd type="triangle" w="lg" len="lg"/>
            </a:ln>
            <a:effectLst>
              <a:glow rad="241300">
                <a:schemeClr val="accent1">
                  <a:lumMod val="75000"/>
                  <a:alpha val="31000"/>
                </a:schemeClr>
              </a:glow>
              <a:outerShdw blurRad="431800" dist="190500" dir="1080000" algn="ctr" rotWithShape="0">
                <a:srgbClr val="000000">
                  <a:alpha val="40000"/>
                </a:srgbClr>
              </a:outerShdw>
            </a:effectLst>
          </c:spPr>
          <c:marker>
            <c:symbol val="none"/>
          </c:marker>
          <c:cat>
            <c:multiLvlStrRef>
              <c:f>'Pivot Tables'!$J$20:$J$37</c:f>
              <c:multiLvlStrCache>
                <c:ptCount val="15"/>
                <c:lvl>
                  <c:pt idx="0">
                    <c:v>Jan</c:v>
                  </c:pt>
                  <c:pt idx="1">
                    <c:v>May</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lvl>
                <c:lvl>
                  <c:pt idx="0">
                    <c:v>2023</c:v>
                  </c:pt>
                  <c:pt idx="2">
                    <c:v>2024</c:v>
                  </c:pt>
                  <c:pt idx="4">
                    <c:v>2025</c:v>
                  </c:pt>
                </c:lvl>
              </c:multiLvlStrCache>
            </c:multiLvlStrRef>
          </c:cat>
          <c:val>
            <c:numRef>
              <c:f>'Pivot Tables'!$K$20:$K$37</c:f>
              <c:numCache>
                <c:formatCode>General</c:formatCode>
                <c:ptCount val="15"/>
                <c:pt idx="0">
                  <c:v>1532.04</c:v>
                </c:pt>
                <c:pt idx="1">
                  <c:v>0</c:v>
                </c:pt>
                <c:pt idx="2">
                  <c:v>7820.32</c:v>
                </c:pt>
                <c:pt idx="3">
                  <c:v>7191.29</c:v>
                </c:pt>
                <c:pt idx="4">
                  <c:v>7090.35</c:v>
                </c:pt>
                <c:pt idx="5">
                  <c:v>9401.57</c:v>
                </c:pt>
                <c:pt idx="6">
                  <c:v>5470.36</c:v>
                </c:pt>
                <c:pt idx="7">
                  <c:v>1200.28</c:v>
                </c:pt>
                <c:pt idx="8">
                  <c:v>5579.26</c:v>
                </c:pt>
                <c:pt idx="9">
                  <c:v>4700.2299999999996</c:v>
                </c:pt>
                <c:pt idx="10">
                  <c:v>10538.27</c:v>
                </c:pt>
                <c:pt idx="11">
                  <c:v>3335.06</c:v>
                </c:pt>
                <c:pt idx="12">
                  <c:v>2606.0099999999998</c:v>
                </c:pt>
                <c:pt idx="13">
                  <c:v>20200.43</c:v>
                </c:pt>
                <c:pt idx="14">
                  <c:v>1100.4000000000001</c:v>
                </c:pt>
              </c:numCache>
            </c:numRef>
          </c:val>
          <c:smooth val="0"/>
          <c:extLst>
            <c:ext xmlns:c16="http://schemas.microsoft.com/office/drawing/2014/chart" uri="{C3380CC4-5D6E-409C-BE32-E72D297353CC}">
              <c16:uniqueId val="{00000000-1623-44EB-B08D-33041DB76961}"/>
            </c:ext>
          </c:extLst>
        </c:ser>
        <c:dLbls>
          <c:showLegendKey val="0"/>
          <c:showVal val="0"/>
          <c:showCatName val="0"/>
          <c:showSerName val="0"/>
          <c:showPercent val="0"/>
          <c:showBubbleSize val="0"/>
        </c:dLbls>
        <c:smooth val="0"/>
        <c:axId val="1907180815"/>
        <c:axId val="1265654959"/>
      </c:lineChart>
      <c:catAx>
        <c:axId val="190718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1265654959"/>
        <c:crosses val="autoZero"/>
        <c:auto val="1"/>
        <c:lblAlgn val="ctr"/>
        <c:lblOffset val="100"/>
        <c:noMultiLvlLbl val="0"/>
      </c:catAx>
      <c:valAx>
        <c:axId val="1265654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crossAx val="1907180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431800" dist="190500" dir="1080000" sx="1000" sy="1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(Repaired)2 (version 1) (Recovered) (Repaired)  3333 (Repaired) (Repaired).xlsx]Pivot Tables!PivotTable15</c:name>
    <c:fmtId val="8"/>
  </c:pivotSource>
  <c:chart>
    <c:title>
      <c:tx>
        <c:rich>
          <a:bodyPr rot="0" spcFirstLastPara="1" vertOverflow="ellipsis" vert="horz" wrap="square" anchor="ctr" anchorCtr="1"/>
          <a:lstStyle/>
          <a:p>
            <a:pPr algn="ctr" rtl="0">
              <a:defRPr lang="en-US" sz="2000" b="1" i="0" u="none" strike="noStrike" kern="1200" spc="0" baseline="0">
                <a:solidFill>
                  <a:schemeClr val="bg1"/>
                </a:solidFill>
                <a:latin typeface="Arial Black" panose="020B0A04020102020204" pitchFamily="34" charset="0"/>
                <a:ea typeface="+mn-ea"/>
                <a:cs typeface="+mn-cs"/>
              </a:defRPr>
            </a:pPr>
            <a:r>
              <a:rPr lang="en-US" sz="2000" b="1" i="0" u="none" strike="noStrike" kern="1200" baseline="0">
                <a:solidFill>
                  <a:schemeClr val="bg1"/>
                </a:solidFill>
                <a:latin typeface="Arial Black" panose="020B0A04020102020204" pitchFamily="34" charset="0"/>
                <a:ea typeface="+mn-ea"/>
                <a:cs typeface="+mn-cs"/>
              </a:rPr>
              <a:t>Top </a:t>
            </a:r>
            <a:r>
              <a:rPr lang="en-US" sz="2000" b="1" i="0" u="none" strike="noStrike" kern="1200" baseline="0">
                <a:solidFill>
                  <a:srgbClr val="21FAFF"/>
                </a:solidFill>
                <a:latin typeface="Arial Black" panose="020B0A04020102020204" pitchFamily="34" charset="0"/>
                <a:ea typeface="+mn-ea"/>
                <a:cs typeface="+mn-cs"/>
              </a:rPr>
              <a:t>5 Product</a:t>
            </a:r>
            <a:r>
              <a:rPr lang="en-US" sz="2000" b="1" i="0" u="none" strike="noStrike" kern="1200" baseline="0">
                <a:solidFill>
                  <a:schemeClr val="bg1"/>
                </a:solidFill>
                <a:latin typeface="Arial Black" panose="020B0A04020102020204" pitchFamily="34" charset="0"/>
                <a:ea typeface="+mn-ea"/>
                <a:cs typeface="+mn-cs"/>
              </a:rPr>
              <a:t>&amp;Quantity</a:t>
            </a:r>
          </a:p>
        </c:rich>
      </c:tx>
      <c:layout>
        <c:manualLayout>
          <c:xMode val="edge"/>
          <c:yMode val="edge"/>
          <c:x val="2.4154274419919278E-3"/>
          <c:y val="8.4175061858728529E-4"/>
        </c:manualLayout>
      </c:layout>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rgbClr val="00929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Bahnschrift 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296"/>
          </a:solidFill>
          <a:ln>
            <a:noFill/>
          </a:ln>
          <a:effectLst/>
          <a:sp3d/>
        </c:spPr>
      </c:pivotFmt>
      <c:pivotFmt>
        <c:idx val="4"/>
        <c:spPr>
          <a:solidFill>
            <a:srgbClr val="267038"/>
          </a:solidFill>
          <a:ln>
            <a:noFill/>
          </a:ln>
          <a:effectLst/>
          <a:sp3d/>
        </c:spPr>
      </c:pivotFmt>
      <c:pivotFmt>
        <c:idx val="5"/>
        <c:spPr>
          <a:solidFill>
            <a:srgbClr val="009296"/>
          </a:solidFill>
          <a:ln>
            <a:noFill/>
          </a:ln>
          <a:effectLst/>
          <a:sp3d/>
        </c:spPr>
      </c:pivotFmt>
      <c:pivotFmt>
        <c:idx val="6"/>
        <c:spPr>
          <a:solidFill>
            <a:srgbClr val="267038"/>
          </a:solidFill>
          <a:ln>
            <a:noFill/>
          </a:ln>
          <a:effectLst/>
          <a:sp3d/>
        </c:spPr>
      </c:pivotFmt>
      <c:pivotFmt>
        <c:idx val="7"/>
        <c:spPr>
          <a:solidFill>
            <a:srgbClr val="009296"/>
          </a:solidFill>
          <a:ln>
            <a:noFill/>
          </a:ln>
          <a:effectLst/>
          <a:sp3d/>
        </c:spPr>
      </c:pivotFmt>
      <c:pivotFmt>
        <c:idx val="8"/>
        <c:spPr>
          <a:solidFill>
            <a:srgbClr val="267038"/>
          </a:solidFill>
          <a:ln>
            <a:noFill/>
          </a:ln>
          <a:effectLst/>
          <a:sp3d/>
        </c:spPr>
      </c:pivotFmt>
      <c:pivotFmt>
        <c:idx val="9"/>
        <c:spPr>
          <a:solidFill>
            <a:srgbClr val="267038"/>
          </a:solidFill>
          <a:ln>
            <a:noFill/>
          </a:ln>
          <a:effectLst/>
          <a:sp3d/>
        </c:spPr>
      </c:pivotFmt>
      <c:pivotFmt>
        <c:idx val="10"/>
        <c:spPr>
          <a:solidFill>
            <a:srgbClr val="009296"/>
          </a:solidFill>
          <a:ln>
            <a:noFill/>
          </a:ln>
          <a:effectLst>
            <a:outerShdw blurRad="431800" dist="190500" dir="1080000" algn="ctr" rotWithShape="0">
              <a:schemeClr val="bg1">
                <a:alpha val="4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Bahnschrift 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67038"/>
          </a:solidFill>
          <a:ln>
            <a:noFill/>
          </a:ln>
          <a:effectLst>
            <a:outerShdw blurRad="431800" dist="190500" dir="1080000" algn="ctr" rotWithShape="0">
              <a:schemeClr val="bg1">
                <a:alpha val="40000"/>
              </a:schemeClr>
            </a:outerShdw>
          </a:effectLst>
          <a:sp3d/>
        </c:spPr>
      </c:pivotFmt>
      <c:pivotFmt>
        <c:idx val="12"/>
        <c:spPr>
          <a:solidFill>
            <a:srgbClr val="009296"/>
          </a:solidFill>
          <a:ln>
            <a:noFill/>
          </a:ln>
          <a:effectLst>
            <a:outerShdw blurRad="431800" dist="190500" dir="1080000" algn="ctr" rotWithShape="0">
              <a:schemeClr val="bg1">
                <a:alpha val="40000"/>
              </a:schemeClr>
            </a:outerShdw>
          </a:effectLst>
          <a:sp3d/>
        </c:spPr>
      </c:pivotFmt>
      <c:pivotFmt>
        <c:idx val="13"/>
        <c:spPr>
          <a:solidFill>
            <a:srgbClr val="267038"/>
          </a:solidFill>
          <a:ln>
            <a:noFill/>
          </a:ln>
          <a:effectLst>
            <a:outerShdw blurRad="431800" dist="190500" dir="1080000" algn="ctr" rotWithShape="0">
              <a:schemeClr val="bg1">
                <a:alpha val="40000"/>
              </a:schemeClr>
            </a:outerShdw>
          </a:effectLst>
          <a:sp3d/>
        </c:spPr>
      </c:pivotFmt>
      <c:pivotFmt>
        <c:idx val="14"/>
      </c:pivotFmt>
      <c:pivotFmt>
        <c:idx val="15"/>
        <c:spPr>
          <a:solidFill>
            <a:srgbClr val="267038"/>
          </a:solidFill>
          <a:ln>
            <a:noFill/>
          </a:ln>
          <a:effectLst>
            <a:outerShdw blurRad="431800" dist="190500" dir="1080000" algn="ctr" rotWithShape="0">
              <a:schemeClr val="bg1">
                <a:alpha val="40000"/>
              </a:schemeClr>
            </a:outerShdw>
          </a:effectLst>
          <a:sp3d/>
        </c:spPr>
      </c:pivotFmt>
      <c:pivotFmt>
        <c:idx val="16"/>
        <c:spPr>
          <a:solidFill>
            <a:srgbClr val="267038"/>
          </a:solidFill>
          <a:ln>
            <a:noFill/>
          </a:ln>
          <a:effectLst>
            <a:outerShdw blurRad="431800" dist="190500" dir="1080000" algn="ctr" rotWithShape="0">
              <a:schemeClr val="bg1">
                <a:alpha val="40000"/>
              </a:scheme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29676548607719"/>
          <c:y val="0.10053340043533431"/>
          <c:w val="0.84442210460886546"/>
          <c:h val="0.81157697653300132"/>
        </c:manualLayout>
      </c:layout>
      <c:bar3DChart>
        <c:barDir val="bar"/>
        <c:grouping val="clustered"/>
        <c:varyColors val="0"/>
        <c:ser>
          <c:idx val="0"/>
          <c:order val="0"/>
          <c:tx>
            <c:strRef>
              <c:f>'Pivot Tables'!$N$19</c:f>
              <c:strCache>
                <c:ptCount val="1"/>
                <c:pt idx="0">
                  <c:v>Total</c:v>
                </c:pt>
              </c:strCache>
            </c:strRef>
          </c:tx>
          <c:spPr>
            <a:solidFill>
              <a:srgbClr val="009296"/>
            </a:solidFill>
            <a:ln>
              <a:noFill/>
            </a:ln>
            <a:effectLst>
              <a:outerShdw blurRad="431800" dist="190500" dir="1080000" algn="ctr" rotWithShape="0">
                <a:schemeClr val="bg1">
                  <a:alpha val="40000"/>
                </a:schemeClr>
              </a:outerShdw>
            </a:effectLst>
            <a:sp3d/>
          </c:spPr>
          <c:invertIfNegative val="0"/>
          <c:dPt>
            <c:idx val="1"/>
            <c:invertIfNegative val="0"/>
            <c:bubble3D val="0"/>
            <c:spPr>
              <a:solidFill>
                <a:srgbClr val="267038"/>
              </a:solidFill>
              <a:ln>
                <a:noFill/>
              </a:ln>
              <a:effectLst>
                <a:outerShdw blurRad="431800" dist="190500" dir="1080000" algn="ctr" rotWithShape="0">
                  <a:schemeClr val="bg1">
                    <a:alpha val="40000"/>
                  </a:schemeClr>
                </a:outerShdw>
              </a:effectLst>
              <a:sp3d/>
            </c:spPr>
            <c:extLst>
              <c:ext xmlns:c16="http://schemas.microsoft.com/office/drawing/2014/chart" uri="{C3380CC4-5D6E-409C-BE32-E72D297353CC}">
                <c16:uniqueId val="{00000004-7E99-4514-972C-B5E1CA31C8D9}"/>
              </c:ext>
            </c:extLst>
          </c:dPt>
          <c:dPt>
            <c:idx val="3"/>
            <c:invertIfNegative val="0"/>
            <c:bubble3D val="0"/>
            <c:extLst>
              <c:ext xmlns:c16="http://schemas.microsoft.com/office/drawing/2014/chart" uri="{C3380CC4-5D6E-409C-BE32-E72D297353CC}">
                <c16:uniqueId val="{00000002-7E99-4514-972C-B5E1CA31C8D9}"/>
              </c:ext>
            </c:extLst>
          </c:dPt>
          <c:dPt>
            <c:idx val="4"/>
            <c:invertIfNegative val="0"/>
            <c:bubble3D val="0"/>
            <c:extLst>
              <c:ext xmlns:c16="http://schemas.microsoft.com/office/drawing/2014/chart" uri="{C3380CC4-5D6E-409C-BE32-E72D297353CC}">
                <c16:uniqueId val="{00000004-8990-40BF-B8DB-280446E886D6}"/>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Bahnschrift Light Condensed"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Tables'!$M$20:$M$24</c:f>
              <c:strCache>
                <c:ptCount val="5"/>
                <c:pt idx="0">
                  <c:v>shoes</c:v>
                </c:pt>
                <c:pt idx="1">
                  <c:v>Science</c:v>
                </c:pt>
                <c:pt idx="2">
                  <c:v>Blender</c:v>
                </c:pt>
                <c:pt idx="3">
                  <c:v>Lamp</c:v>
                </c:pt>
                <c:pt idx="4">
                  <c:v>Comics</c:v>
                </c:pt>
              </c:strCache>
            </c:strRef>
          </c:cat>
          <c:val>
            <c:numRef>
              <c:f>'Pivot Tables'!$N$20:$N$24</c:f>
              <c:numCache>
                <c:formatCode>General</c:formatCode>
                <c:ptCount val="5"/>
                <c:pt idx="0">
                  <c:v>28</c:v>
                </c:pt>
                <c:pt idx="1">
                  <c:v>24</c:v>
                </c:pt>
                <c:pt idx="2">
                  <c:v>23</c:v>
                </c:pt>
                <c:pt idx="3">
                  <c:v>23</c:v>
                </c:pt>
                <c:pt idx="4">
                  <c:v>20</c:v>
                </c:pt>
              </c:numCache>
            </c:numRef>
          </c:val>
          <c:extLst>
            <c:ext xmlns:c16="http://schemas.microsoft.com/office/drawing/2014/chart" uri="{C3380CC4-5D6E-409C-BE32-E72D297353CC}">
              <c16:uniqueId val="{00000000-7E99-4514-972C-B5E1CA31C8D9}"/>
            </c:ext>
          </c:extLst>
        </c:ser>
        <c:dLbls>
          <c:showLegendKey val="0"/>
          <c:showVal val="1"/>
          <c:showCatName val="0"/>
          <c:showSerName val="0"/>
          <c:showPercent val="0"/>
          <c:showBubbleSize val="0"/>
        </c:dLbls>
        <c:gapWidth val="150"/>
        <c:shape val="box"/>
        <c:axId val="1590877183"/>
        <c:axId val="1260903503"/>
        <c:axId val="0"/>
      </c:bar3DChart>
      <c:catAx>
        <c:axId val="159087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260903503"/>
        <c:crosses val="autoZero"/>
        <c:auto val="1"/>
        <c:lblAlgn val="ctr"/>
        <c:lblOffset val="100"/>
        <c:noMultiLvlLbl val="0"/>
      </c:catAx>
      <c:valAx>
        <c:axId val="1260903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590877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431800" dist="190500" dir="1080000" sx="1000" sy="1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(Repaired)2 (version 1) (Recovered) (Repaired)  3333 (Repaired) (Repaired).xlsx]Pivot Tables!PivotTable5</c:name>
    <c:fmtId val="18"/>
  </c:pivotSource>
  <c:chart>
    <c:title>
      <c:tx>
        <c:rich>
          <a:bodyPr rot="0" spcFirstLastPara="1" vertOverflow="ellipsis" vert="horz" wrap="square" anchor="ctr" anchorCtr="1"/>
          <a:lstStyle/>
          <a:p>
            <a:pPr>
              <a:defRPr sz="2000" b="1" i="0" u="none" strike="noStrike" kern="1200" baseline="0">
                <a:solidFill>
                  <a:schemeClr val="bg1"/>
                </a:solidFill>
                <a:latin typeface="Arial Black" panose="020B0A04020102020204" pitchFamily="34" charset="0"/>
                <a:ea typeface="+mn-ea"/>
                <a:cs typeface="+mn-cs"/>
              </a:defRPr>
            </a:pPr>
            <a:r>
              <a:rPr lang="en-US" sz="2000" b="1">
                <a:solidFill>
                  <a:schemeClr val="bg1"/>
                </a:solidFill>
                <a:latin typeface="Arial Black" panose="020B0A04020102020204" pitchFamily="34" charset="0"/>
              </a:rPr>
              <a:t>Orders </a:t>
            </a:r>
            <a:r>
              <a:rPr lang="en-US" sz="2000" b="1">
                <a:solidFill>
                  <a:srgbClr val="21FAFF"/>
                </a:solidFill>
                <a:latin typeface="Arial Black" panose="020B0A04020102020204" pitchFamily="34" charset="0"/>
              </a:rPr>
              <a:t>Revenue</a:t>
            </a:r>
            <a:r>
              <a:rPr lang="en-US" sz="2000" b="1">
                <a:solidFill>
                  <a:schemeClr val="bg1"/>
                </a:solidFill>
                <a:latin typeface="Arial Black" panose="020B0A04020102020204" pitchFamily="34" charset="0"/>
              </a:rPr>
              <a:t>&amp;Statues</a:t>
            </a:r>
          </a:p>
        </c:rich>
      </c:tx>
      <c:layout>
        <c:manualLayout>
          <c:xMode val="edge"/>
          <c:yMode val="edge"/>
          <c:x val="1.9728320475473054E-3"/>
          <c:y val="1.6908539045260513E-3"/>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Arial Black" panose="020B0A04020102020204" pitchFamily="34" charset="0"/>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69F3C8"/>
          </a:solidFill>
          <a:ln>
            <a:noFill/>
          </a:ln>
          <a:effectLst/>
        </c:spPr>
        <c:dLbl>
          <c:idx val="0"/>
          <c:layout>
            <c:manualLayout>
              <c:x val="7.6426801993974475E-2"/>
              <c:y val="-9.2501753628498662E-2"/>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lumMod val="75000"/>
            </a:schemeClr>
          </a:solidFill>
          <a:ln>
            <a:noFill/>
          </a:ln>
          <a:effectLst/>
        </c:spPr>
        <c:dLbl>
          <c:idx val="0"/>
          <c:layout>
            <c:manualLayout>
              <c:x val="9.0984288088064635E-2"/>
              <c:y val="-5.1389863126944154E-3"/>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9296"/>
          </a:solidFill>
          <a:ln>
            <a:noFill/>
          </a:ln>
          <a:effectLst/>
        </c:spPr>
        <c:dLbl>
          <c:idx val="0"/>
          <c:layout>
            <c:manualLayout>
              <c:x val="6.9148058946929228E-2"/>
              <c:y val="8.993226047215136E-2"/>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21FAFF"/>
          </a:solidFill>
          <a:ln>
            <a:noFill/>
          </a:ln>
          <a:effectLst/>
        </c:spPr>
        <c:dLbl>
          <c:idx val="0"/>
          <c:layout>
            <c:manualLayout>
              <c:x val="-8.6027575383334068E-2"/>
              <c:y val="8.1908130296759502E-2"/>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B050"/>
          </a:solidFill>
          <a:ln>
            <a:noFill/>
          </a:ln>
          <a:effectLst/>
        </c:spPr>
        <c:dLbl>
          <c:idx val="0"/>
          <c:layout>
            <c:manualLayout>
              <c:x val="-6.169700146453963E-2"/>
              <c:y val="-8.4477640133296492E-2"/>
            </c:manualLayout>
          </c:layout>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14300">
              <a:schemeClr val="accent1">
                <a:alpha val="20000"/>
              </a:schemeClr>
            </a:glow>
            <a:outerShdw blurRad="431800" dist="190500" dir="1080000" algn="ctr" rotWithShape="0">
              <a:srgbClr val="000000">
                <a:alpha val="40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69F3C8"/>
          </a:solidFill>
          <a:ln>
            <a:noFill/>
          </a:ln>
          <a:effectLst>
            <a:glow rad="114300">
              <a:schemeClr val="accent1">
                <a:alpha val="20000"/>
              </a:schemeClr>
            </a:glow>
            <a:outerShdw blurRad="431800" dist="190500" dir="1080000" algn="ctr" rotWithShape="0">
              <a:srgbClr val="000000">
                <a:alpha val="40000"/>
              </a:srgbClr>
            </a:outerShdw>
          </a:effectLst>
        </c:spPr>
        <c:dLbl>
          <c:idx val="0"/>
          <c:layout>
            <c:manualLayout>
              <c:x val="7.6426801993974475E-2"/>
              <c:y val="-9.2501753628498662E-2"/>
            </c:manualLayout>
          </c:layout>
          <c:spPr>
            <a:no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lumMod val="75000"/>
            </a:schemeClr>
          </a:solidFill>
          <a:ln>
            <a:noFill/>
          </a:ln>
          <a:effectLst>
            <a:glow rad="114300">
              <a:schemeClr val="accent1">
                <a:alpha val="20000"/>
              </a:schemeClr>
            </a:glow>
            <a:outerShdw blurRad="431800" dist="190500" dir="1080000" algn="ctr" rotWithShape="0">
              <a:srgbClr val="000000">
                <a:alpha val="40000"/>
              </a:srgbClr>
            </a:outerShdw>
          </a:effectLst>
        </c:spPr>
        <c:dLbl>
          <c:idx val="0"/>
          <c:layout>
            <c:manualLayout>
              <c:x val="9.0984288088064635E-2"/>
              <c:y val="-5.1389863126944154E-3"/>
            </c:manualLayout>
          </c:layout>
          <c:spPr>
            <a:no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009296"/>
          </a:solidFill>
          <a:ln>
            <a:noFill/>
          </a:ln>
          <a:effectLst>
            <a:glow rad="114300">
              <a:schemeClr val="accent1">
                <a:alpha val="20000"/>
              </a:schemeClr>
            </a:glow>
            <a:outerShdw blurRad="431800" dist="190500" dir="1080000" algn="ctr" rotWithShape="0">
              <a:srgbClr val="000000">
                <a:alpha val="40000"/>
              </a:srgbClr>
            </a:outerShdw>
          </a:effectLst>
        </c:spPr>
        <c:dLbl>
          <c:idx val="0"/>
          <c:layout>
            <c:manualLayout>
              <c:x val="6.9148058946929228E-2"/>
              <c:y val="8.993226047215136E-2"/>
            </c:manualLayout>
          </c:layout>
          <c:spPr>
            <a:no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21FAFF"/>
          </a:solidFill>
          <a:ln>
            <a:noFill/>
          </a:ln>
          <a:effectLst>
            <a:glow rad="114300">
              <a:schemeClr val="accent1">
                <a:alpha val="20000"/>
              </a:schemeClr>
            </a:glow>
            <a:outerShdw blurRad="431800" dist="190500" dir="1080000" algn="ctr" rotWithShape="0">
              <a:srgbClr val="000000">
                <a:alpha val="40000"/>
              </a:srgbClr>
            </a:outerShdw>
          </a:effectLst>
        </c:spPr>
        <c:dLbl>
          <c:idx val="0"/>
          <c:layout>
            <c:manualLayout>
              <c:x val="-8.6027575383334068E-2"/>
              <c:y val="8.1908130296759502E-2"/>
            </c:manualLayout>
          </c:layout>
          <c:spPr>
            <a:no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0B050"/>
          </a:solidFill>
          <a:ln>
            <a:noFill/>
          </a:ln>
          <a:effectLst>
            <a:glow rad="114300">
              <a:schemeClr val="accent1">
                <a:alpha val="20000"/>
              </a:schemeClr>
            </a:glow>
            <a:outerShdw blurRad="431800" dist="190500" dir="1080000" algn="ctr" rotWithShape="0">
              <a:srgbClr val="000000">
                <a:alpha val="40000"/>
              </a:srgbClr>
            </a:outerShdw>
          </a:effectLst>
        </c:spPr>
        <c:dLbl>
          <c:idx val="0"/>
          <c:layout>
            <c:manualLayout>
              <c:x val="-6.169700146453963E-2"/>
              <c:y val="-8.4477640133296492E-2"/>
            </c:manualLayout>
          </c:layout>
          <c:spPr>
            <a:no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075899293591801"/>
          <c:y val="0.20261694218195775"/>
          <c:w val="0.59376582065219019"/>
          <c:h val="0.72571364695361584"/>
        </c:manualLayout>
      </c:layout>
      <c:doughnutChart>
        <c:varyColors val="1"/>
        <c:ser>
          <c:idx val="0"/>
          <c:order val="0"/>
          <c:tx>
            <c:strRef>
              <c:f>'Pivot Tables'!$B$32</c:f>
              <c:strCache>
                <c:ptCount val="1"/>
                <c:pt idx="0">
                  <c:v>Total</c:v>
                </c:pt>
              </c:strCache>
            </c:strRef>
          </c:tx>
          <c:spPr>
            <a:ln>
              <a:noFill/>
            </a:ln>
            <a:effectLst>
              <a:glow rad="114300">
                <a:schemeClr val="accent1">
                  <a:alpha val="20000"/>
                </a:schemeClr>
              </a:glow>
              <a:outerShdw blurRad="431800" dist="190500" dir="1080000" algn="ctr" rotWithShape="0">
                <a:srgbClr val="000000">
                  <a:alpha val="40000"/>
                </a:srgbClr>
              </a:outerShdw>
            </a:effectLst>
          </c:spPr>
          <c:dPt>
            <c:idx val="0"/>
            <c:bubble3D val="0"/>
            <c:spPr>
              <a:solidFill>
                <a:srgbClr val="69F3C8"/>
              </a:solidFill>
              <a:ln>
                <a:noFill/>
              </a:ln>
              <a:effectLst>
                <a:glow rad="114300">
                  <a:schemeClr val="accent1">
                    <a:alpha val="20000"/>
                  </a:schemeClr>
                </a:glow>
                <a:outerShdw blurRad="431800" dist="190500" dir="1080000" algn="ctr" rotWithShape="0">
                  <a:srgbClr val="000000">
                    <a:alpha val="40000"/>
                  </a:srgbClr>
                </a:outerShdw>
              </a:effectLst>
            </c:spPr>
            <c:extLst>
              <c:ext xmlns:c16="http://schemas.microsoft.com/office/drawing/2014/chart" uri="{C3380CC4-5D6E-409C-BE32-E72D297353CC}">
                <c16:uniqueId val="{00000001-E03A-4D20-A2DB-E4EBCE15576C}"/>
              </c:ext>
            </c:extLst>
          </c:dPt>
          <c:dPt>
            <c:idx val="1"/>
            <c:bubble3D val="0"/>
            <c:spPr>
              <a:solidFill>
                <a:schemeClr val="accent5">
                  <a:lumMod val="75000"/>
                </a:schemeClr>
              </a:solidFill>
              <a:ln>
                <a:noFill/>
              </a:ln>
              <a:effectLst>
                <a:glow rad="114300">
                  <a:schemeClr val="accent1">
                    <a:alpha val="20000"/>
                  </a:schemeClr>
                </a:glow>
                <a:outerShdw blurRad="431800" dist="190500" dir="1080000" algn="ctr" rotWithShape="0">
                  <a:srgbClr val="000000">
                    <a:alpha val="40000"/>
                  </a:srgbClr>
                </a:outerShdw>
              </a:effectLst>
            </c:spPr>
            <c:extLst>
              <c:ext xmlns:c16="http://schemas.microsoft.com/office/drawing/2014/chart" uri="{C3380CC4-5D6E-409C-BE32-E72D297353CC}">
                <c16:uniqueId val="{00000003-E03A-4D20-A2DB-E4EBCE15576C}"/>
              </c:ext>
            </c:extLst>
          </c:dPt>
          <c:dPt>
            <c:idx val="2"/>
            <c:bubble3D val="0"/>
            <c:spPr>
              <a:solidFill>
                <a:srgbClr val="009296"/>
              </a:solidFill>
              <a:ln>
                <a:noFill/>
              </a:ln>
              <a:effectLst>
                <a:glow rad="114300">
                  <a:schemeClr val="accent1">
                    <a:alpha val="20000"/>
                  </a:schemeClr>
                </a:glow>
                <a:outerShdw blurRad="431800" dist="190500" dir="1080000" algn="ctr" rotWithShape="0">
                  <a:srgbClr val="000000">
                    <a:alpha val="40000"/>
                  </a:srgbClr>
                </a:outerShdw>
              </a:effectLst>
            </c:spPr>
            <c:extLst>
              <c:ext xmlns:c16="http://schemas.microsoft.com/office/drawing/2014/chart" uri="{C3380CC4-5D6E-409C-BE32-E72D297353CC}">
                <c16:uniqueId val="{00000005-E03A-4D20-A2DB-E4EBCE15576C}"/>
              </c:ext>
            </c:extLst>
          </c:dPt>
          <c:dPt>
            <c:idx val="3"/>
            <c:bubble3D val="0"/>
            <c:spPr>
              <a:solidFill>
                <a:srgbClr val="21FAFF"/>
              </a:solidFill>
              <a:ln>
                <a:noFill/>
              </a:ln>
              <a:effectLst>
                <a:glow rad="114300">
                  <a:schemeClr val="accent1">
                    <a:alpha val="20000"/>
                  </a:schemeClr>
                </a:glow>
                <a:outerShdw blurRad="431800" dist="190500" dir="1080000" algn="ctr" rotWithShape="0">
                  <a:srgbClr val="000000">
                    <a:alpha val="40000"/>
                  </a:srgbClr>
                </a:outerShdw>
              </a:effectLst>
            </c:spPr>
            <c:extLst>
              <c:ext xmlns:c16="http://schemas.microsoft.com/office/drawing/2014/chart" uri="{C3380CC4-5D6E-409C-BE32-E72D297353CC}">
                <c16:uniqueId val="{00000007-E03A-4D20-A2DB-E4EBCE15576C}"/>
              </c:ext>
            </c:extLst>
          </c:dPt>
          <c:dPt>
            <c:idx val="4"/>
            <c:bubble3D val="0"/>
            <c:spPr>
              <a:solidFill>
                <a:srgbClr val="00B050"/>
              </a:solidFill>
              <a:ln>
                <a:noFill/>
              </a:ln>
              <a:effectLst>
                <a:glow rad="114300">
                  <a:schemeClr val="accent1">
                    <a:alpha val="20000"/>
                  </a:schemeClr>
                </a:glow>
                <a:outerShdw blurRad="431800" dist="190500" dir="1080000" algn="ctr" rotWithShape="0">
                  <a:srgbClr val="000000">
                    <a:alpha val="40000"/>
                  </a:srgbClr>
                </a:outerShdw>
              </a:effectLst>
            </c:spPr>
            <c:extLst>
              <c:ext xmlns:c16="http://schemas.microsoft.com/office/drawing/2014/chart" uri="{C3380CC4-5D6E-409C-BE32-E72D297353CC}">
                <c16:uniqueId val="{00000009-E03A-4D20-A2DB-E4EBCE15576C}"/>
              </c:ext>
            </c:extLst>
          </c:dPt>
          <c:dLbls>
            <c:dLbl>
              <c:idx val="0"/>
              <c:layout>
                <c:manualLayout>
                  <c:x val="7.6426801993974475E-2"/>
                  <c:y val="-9.25017536284986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03A-4D20-A2DB-E4EBCE15576C}"/>
                </c:ext>
              </c:extLst>
            </c:dLbl>
            <c:dLbl>
              <c:idx val="1"/>
              <c:layout>
                <c:manualLayout>
                  <c:x val="9.0984288088064635E-2"/>
                  <c:y val="-5.138986312694415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03A-4D20-A2DB-E4EBCE15576C}"/>
                </c:ext>
              </c:extLst>
            </c:dLbl>
            <c:dLbl>
              <c:idx val="2"/>
              <c:layout>
                <c:manualLayout>
                  <c:x val="6.9148058946929228E-2"/>
                  <c:y val="8.9932260472151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03A-4D20-A2DB-E4EBCE15576C}"/>
                </c:ext>
              </c:extLst>
            </c:dLbl>
            <c:dLbl>
              <c:idx val="3"/>
              <c:layout>
                <c:manualLayout>
                  <c:x val="-8.6027575383334068E-2"/>
                  <c:y val="8.190813029675950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03A-4D20-A2DB-E4EBCE15576C}"/>
                </c:ext>
              </c:extLst>
            </c:dLbl>
            <c:dLbl>
              <c:idx val="4"/>
              <c:layout>
                <c:manualLayout>
                  <c:x val="-6.169700146453963E-2"/>
                  <c:y val="-8.44776401332964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03A-4D20-A2DB-E4EBCE15576C}"/>
                </c:ext>
              </c:extLst>
            </c:dLbl>
            <c:spPr>
              <a:noFill/>
              <a:ln>
                <a:no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Tables'!$A$33:$A$37</c:f>
              <c:strCache>
                <c:ptCount val="5"/>
                <c:pt idx="0">
                  <c:v>Cancelled</c:v>
                </c:pt>
                <c:pt idx="1">
                  <c:v>Delivered</c:v>
                </c:pt>
                <c:pt idx="2">
                  <c:v>Processing</c:v>
                </c:pt>
                <c:pt idx="3">
                  <c:v>Returned</c:v>
                </c:pt>
                <c:pt idx="4">
                  <c:v>Shipped</c:v>
                </c:pt>
              </c:strCache>
            </c:strRef>
          </c:cat>
          <c:val>
            <c:numRef>
              <c:f>'Pivot Tables'!$B$33:$B$37</c:f>
              <c:numCache>
                <c:formatCode>0.00%</c:formatCode>
                <c:ptCount val="5"/>
                <c:pt idx="0">
                  <c:v>0</c:v>
                </c:pt>
                <c:pt idx="1">
                  <c:v>0.18161376398365334</c:v>
                </c:pt>
                <c:pt idx="2">
                  <c:v>0.35873853925221733</c:v>
                </c:pt>
                <c:pt idx="3">
                  <c:v>0</c:v>
                </c:pt>
                <c:pt idx="4">
                  <c:v>0.45964769676412937</c:v>
                </c:pt>
              </c:numCache>
            </c:numRef>
          </c:val>
          <c:extLst>
            <c:ext xmlns:c16="http://schemas.microsoft.com/office/drawing/2014/chart" uri="{C3380CC4-5D6E-409C-BE32-E72D297353CC}">
              <c16:uniqueId val="{00000012-7468-41AB-A321-E891978BE0B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sx="1000" sy="1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(Repaired)2 (version 1) (Recovered) (Repaired)  3333 (Repaired) (Repaired).xlsx]Pivot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Returned Orders &amp;(-Total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2'!$B$3</c:f>
              <c:strCache>
                <c:ptCount val="1"/>
                <c:pt idx="0">
                  <c:v>Total</c:v>
                </c:pt>
              </c:strCache>
            </c:strRef>
          </c:tx>
          <c:spPr>
            <a:solidFill>
              <a:schemeClr val="accent1"/>
            </a:solidFill>
            <a:ln>
              <a:noFill/>
            </a:ln>
            <a:effectLst/>
          </c:spPr>
          <c:invertIfNegative val="0"/>
          <c:cat>
            <c:strRef>
              <c:f>'Pivot 2'!$A$4:$A$9</c:f>
              <c:strCache>
                <c:ptCount val="5"/>
                <c:pt idx="0">
                  <c:v>Electronics</c:v>
                </c:pt>
                <c:pt idx="1">
                  <c:v>Books</c:v>
                </c:pt>
                <c:pt idx="2">
                  <c:v>Home</c:v>
                </c:pt>
                <c:pt idx="3">
                  <c:v>Clothings</c:v>
                </c:pt>
                <c:pt idx="4">
                  <c:v>Sports</c:v>
                </c:pt>
              </c:strCache>
            </c:strRef>
          </c:cat>
          <c:val>
            <c:numRef>
              <c:f>'Pivot 2'!$B$4:$B$9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1387-418A-9417-E2D60DC4B42D}"/>
            </c:ext>
          </c:extLst>
        </c:ser>
        <c:dLbls>
          <c:showLegendKey val="0"/>
          <c:showVal val="0"/>
          <c:showCatName val="0"/>
          <c:showSerName val="0"/>
          <c:showPercent val="0"/>
          <c:showBubbleSize val="0"/>
        </c:dLbls>
        <c:gapWidth val="219"/>
        <c:overlap val="-27"/>
        <c:axId val="1231929967"/>
        <c:axId val="48834464"/>
      </c:barChart>
      <c:catAx>
        <c:axId val="123192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34464"/>
        <c:crosses val="autoZero"/>
        <c:auto val="1"/>
        <c:lblAlgn val="ctr"/>
        <c:lblOffset val="100"/>
        <c:noMultiLvlLbl val="0"/>
      </c:catAx>
      <c:valAx>
        <c:axId val="48834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2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(Repaired)2 (version 1) (Recovered) (Repaired)  3333 (Repaired) (Repaired).xlsx]Pivot 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Cancelled Orders (-Total Sales)</a:t>
            </a:r>
          </a:p>
        </c:rich>
      </c:tx>
      <c:layout>
        <c:manualLayout>
          <c:xMode val="edge"/>
          <c:yMode val="edge"/>
          <c:x val="4.997222222222221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3'!$A$4:$A$9</c:f>
              <c:strCache>
                <c:ptCount val="5"/>
                <c:pt idx="0">
                  <c:v>Electronics</c:v>
                </c:pt>
                <c:pt idx="1">
                  <c:v>Books</c:v>
                </c:pt>
                <c:pt idx="2">
                  <c:v>Sports</c:v>
                </c:pt>
                <c:pt idx="3">
                  <c:v>Home</c:v>
                </c:pt>
                <c:pt idx="4">
                  <c:v>Clothings</c:v>
                </c:pt>
              </c:strCache>
            </c:strRef>
          </c:cat>
          <c:val>
            <c:numRef>
              <c:f>'Pivot 3'!$B$4:$B$9</c:f>
              <c:numCache>
                <c:formatCode>0</c:formatCode>
                <c:ptCount val="5"/>
                <c:pt idx="0">
                  <c:v>4587.1499999999996</c:v>
                </c:pt>
                <c:pt idx="1">
                  <c:v>13156.47</c:v>
                </c:pt>
                <c:pt idx="2">
                  <c:v>16130.890000000001</c:v>
                </c:pt>
                <c:pt idx="3">
                  <c:v>21416.280000000002</c:v>
                </c:pt>
                <c:pt idx="4">
                  <c:v>32475.08</c:v>
                </c:pt>
              </c:numCache>
            </c:numRef>
          </c:val>
          <c:extLst>
            <c:ext xmlns:c16="http://schemas.microsoft.com/office/drawing/2014/chart" uri="{C3380CC4-5D6E-409C-BE32-E72D297353CC}">
              <c16:uniqueId val="{00000000-65A5-48C6-8B4D-835C10AC6602}"/>
            </c:ext>
          </c:extLst>
        </c:ser>
        <c:dLbls>
          <c:showLegendKey val="0"/>
          <c:showVal val="0"/>
          <c:showCatName val="0"/>
          <c:showSerName val="0"/>
          <c:showPercent val="0"/>
          <c:showBubbleSize val="0"/>
        </c:dLbls>
        <c:gapWidth val="219"/>
        <c:overlap val="-27"/>
        <c:axId val="1632192895"/>
        <c:axId val="734835967"/>
      </c:barChart>
      <c:catAx>
        <c:axId val="163219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35967"/>
        <c:crosses val="autoZero"/>
        <c:auto val="1"/>
        <c:lblAlgn val="ctr"/>
        <c:lblOffset val="100"/>
        <c:noMultiLvlLbl val="0"/>
      </c:catAx>
      <c:valAx>
        <c:axId val="734835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9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66</xdr:col>
      <xdr:colOff>190500</xdr:colOff>
      <xdr:row>94</xdr:row>
      <xdr:rowOff>-1</xdr:rowOff>
    </xdr:to>
    <xdr:grpSp>
      <xdr:nvGrpSpPr>
        <xdr:cNvPr id="11" name="Group 10">
          <a:extLst>
            <a:ext uri="{FF2B5EF4-FFF2-40B4-BE49-F238E27FC236}">
              <a16:creationId xmlns:a16="http://schemas.microsoft.com/office/drawing/2014/main" id="{4237B43A-4CD2-428A-A05B-01F280E573D4}"/>
            </a:ext>
          </a:extLst>
        </xdr:cNvPr>
        <xdr:cNvGrpSpPr/>
      </xdr:nvGrpSpPr>
      <xdr:grpSpPr>
        <a:xfrm>
          <a:off x="0" y="0"/>
          <a:ext cx="41052750" cy="17906999"/>
          <a:chOff x="0" y="-72398"/>
          <a:chExt cx="24643773" cy="11422668"/>
        </a:xfrm>
        <a:effectLst>
          <a:outerShdw blurRad="431800" dist="50800" dir="5400000" sx="44000" sy="44000" algn="ctr" rotWithShape="0">
            <a:schemeClr val="bg1"/>
          </a:outerShdw>
        </a:effectLst>
      </xdr:grpSpPr>
      <xdr:sp macro="" textlink="">
        <xdr:nvSpPr>
          <xdr:cNvPr id="2" name="Rectangle 1">
            <a:extLst>
              <a:ext uri="{FF2B5EF4-FFF2-40B4-BE49-F238E27FC236}">
                <a16:creationId xmlns:a16="http://schemas.microsoft.com/office/drawing/2014/main" id="{2396AEF4-356C-4BB3-B794-2F520C7EA0ED}"/>
              </a:ext>
            </a:extLst>
          </xdr:cNvPr>
          <xdr:cNvSpPr/>
        </xdr:nvSpPr>
        <xdr:spPr>
          <a:xfrm>
            <a:off x="0" y="-72398"/>
            <a:ext cx="24624723" cy="11375233"/>
          </a:xfrm>
          <a:prstGeom prst="rect">
            <a:avLst/>
          </a:prstGeom>
          <a:gradFill>
            <a:gsLst>
              <a:gs pos="60000">
                <a:srgbClr val="023084"/>
              </a:gs>
              <a:gs pos="46000">
                <a:srgbClr val="023084"/>
              </a:gs>
              <a:gs pos="16000">
                <a:srgbClr val="023084"/>
              </a:gs>
              <a:gs pos="76000">
                <a:srgbClr val="0150A2"/>
              </a:gs>
              <a:gs pos="93000">
                <a:srgbClr val="023084"/>
              </a:gs>
              <a:gs pos="39000">
                <a:srgbClr val="023084"/>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Oval 2">
            <a:extLst>
              <a:ext uri="{FF2B5EF4-FFF2-40B4-BE49-F238E27FC236}">
                <a16:creationId xmlns:a16="http://schemas.microsoft.com/office/drawing/2014/main" id="{7590F890-99F3-44C0-BF37-FCF499A3B4AB}"/>
              </a:ext>
            </a:extLst>
          </xdr:cNvPr>
          <xdr:cNvSpPr/>
        </xdr:nvSpPr>
        <xdr:spPr>
          <a:xfrm>
            <a:off x="6637746" y="398764"/>
            <a:ext cx="11066318" cy="7169727"/>
          </a:xfrm>
          <a:prstGeom prst="ellipse">
            <a:avLst/>
          </a:prstGeom>
          <a:gradFill flip="none" rotWithShape="1">
            <a:gsLst>
              <a:gs pos="0">
                <a:srgbClr val="0070C0">
                  <a:lumMod val="100000"/>
                </a:srgbClr>
              </a:gs>
              <a:gs pos="100000">
                <a:srgbClr val="023084">
                  <a:alpha val="9000"/>
                </a:srgbClr>
              </a:gs>
            </a:gsLst>
            <a:path path="shap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7D847D1C-78E6-4EED-8366-D350D85001D5}"/>
              </a:ext>
            </a:extLst>
          </xdr:cNvPr>
          <xdr:cNvSpPr/>
        </xdr:nvSpPr>
        <xdr:spPr>
          <a:xfrm>
            <a:off x="15573949" y="-66460"/>
            <a:ext cx="9069824" cy="11375232"/>
          </a:xfrm>
          <a:prstGeom prst="rect">
            <a:avLst/>
          </a:prstGeom>
          <a:gradFill flip="none" rotWithShape="1">
            <a:gsLst>
              <a:gs pos="87000">
                <a:srgbClr val="022462">
                  <a:alpha val="0"/>
                </a:srgbClr>
              </a:gs>
              <a:gs pos="54000">
                <a:srgbClr val="022462"/>
              </a:gs>
            </a:gsLst>
            <a:path path="rect">
              <a:fillToRect l="100000" b="100000"/>
            </a:path>
            <a:tileRect t="-100000" r="-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9D046015-4207-4742-8B4F-3521B8A99C59}"/>
              </a:ext>
            </a:extLst>
          </xdr:cNvPr>
          <xdr:cNvSpPr/>
        </xdr:nvSpPr>
        <xdr:spPr>
          <a:xfrm>
            <a:off x="0" y="-64840"/>
            <a:ext cx="8187354" cy="11415110"/>
          </a:xfrm>
          <a:prstGeom prst="rect">
            <a:avLst/>
          </a:prstGeom>
          <a:gradFill flip="none" rotWithShape="1">
            <a:gsLst>
              <a:gs pos="87000">
                <a:srgbClr val="022462">
                  <a:alpha val="0"/>
                </a:srgbClr>
              </a:gs>
              <a:gs pos="54000">
                <a:srgbClr val="022462"/>
              </a:gs>
            </a:gsLst>
            <a:path path="rect">
              <a:fillToRect r="100000" b="100000"/>
            </a:path>
            <a:tileRect l="-100000" t="-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571500</xdr:colOff>
      <xdr:row>11</xdr:row>
      <xdr:rowOff>62105</xdr:rowOff>
    </xdr:from>
    <xdr:to>
      <xdr:col>61</xdr:col>
      <xdr:colOff>150492</xdr:colOff>
      <xdr:row>30</xdr:row>
      <xdr:rowOff>23812</xdr:rowOff>
    </xdr:to>
    <xdr:grpSp>
      <xdr:nvGrpSpPr>
        <xdr:cNvPr id="38" name="Group 37">
          <a:extLst>
            <a:ext uri="{FF2B5EF4-FFF2-40B4-BE49-F238E27FC236}">
              <a16:creationId xmlns:a16="http://schemas.microsoft.com/office/drawing/2014/main" id="{979F72E8-DD4D-4CB1-9686-6A06626096C5}"/>
            </a:ext>
          </a:extLst>
        </xdr:cNvPr>
        <xdr:cNvGrpSpPr/>
      </xdr:nvGrpSpPr>
      <xdr:grpSpPr>
        <a:xfrm>
          <a:off x="1190625" y="2157605"/>
          <a:ext cx="36726492" cy="3581207"/>
          <a:chOff x="-4991054" y="1826825"/>
          <a:chExt cx="54782629" cy="5899503"/>
        </a:xfrm>
      </xdr:grpSpPr>
      <xdr:sp macro="" textlink="">
        <xdr:nvSpPr>
          <xdr:cNvPr id="30" name="Rectangle: Diagonal Corners Rounded 29">
            <a:extLst>
              <a:ext uri="{FF2B5EF4-FFF2-40B4-BE49-F238E27FC236}">
                <a16:creationId xmlns:a16="http://schemas.microsoft.com/office/drawing/2014/main" id="{52AA0FFA-1A7B-4765-90EF-F52A190236F2}"/>
              </a:ext>
            </a:extLst>
          </xdr:cNvPr>
          <xdr:cNvSpPr/>
        </xdr:nvSpPr>
        <xdr:spPr>
          <a:xfrm>
            <a:off x="533417" y="2595561"/>
            <a:ext cx="7861163" cy="1666876"/>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rgbClr val="21FAFF"/>
                </a:solidFill>
                <a:latin typeface="Arial Black" panose="020B0A04020102020204" pitchFamily="34" charset="0"/>
                <a:ea typeface="Calibri"/>
                <a:cs typeface="Calibri"/>
              </a:rPr>
              <a:t>Sum Of Quantity</a:t>
            </a:r>
          </a:p>
        </xdr:txBody>
      </xdr:sp>
      <xdr:sp macro="" textlink="'Pivot Tables'!E14">
        <xdr:nvSpPr>
          <xdr:cNvPr id="35" name="TextBox 34">
            <a:extLst>
              <a:ext uri="{FF2B5EF4-FFF2-40B4-BE49-F238E27FC236}">
                <a16:creationId xmlns:a16="http://schemas.microsoft.com/office/drawing/2014/main" id="{2CF45F66-CE26-4684-B2A8-8AA742EFC78C}"/>
              </a:ext>
            </a:extLst>
          </xdr:cNvPr>
          <xdr:cNvSpPr txBox="1"/>
        </xdr:nvSpPr>
        <xdr:spPr>
          <a:xfrm>
            <a:off x="3386981" y="1948919"/>
            <a:ext cx="2446623" cy="1214438"/>
          </a:xfrm>
          <a:prstGeom prst="rect">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037809C-F0BC-4002-9A66-749A0BA7E8FC}" type="TxLink">
              <a:rPr lang="en-US" sz="2800" b="1" i="0" u="none" strike="noStrike">
                <a:solidFill>
                  <a:srgbClr val="21FAFF"/>
                </a:solidFill>
                <a:latin typeface="Arial Black" panose="020B0A04020102020204" pitchFamily="34" charset="0"/>
                <a:ea typeface="Calibri"/>
                <a:cs typeface="Calibri"/>
              </a:rPr>
              <a:pPr marL="0" indent="0" algn="ctr"/>
              <a:t>277</a:t>
            </a:fld>
            <a:endParaRPr lang="en-US" sz="2800" b="1" i="0" u="none" strike="noStrike">
              <a:solidFill>
                <a:srgbClr val="21FAFF"/>
              </a:solidFill>
              <a:latin typeface="Arial Black" panose="020B0A04020102020204" pitchFamily="34" charset="0"/>
              <a:ea typeface="Calibri"/>
              <a:cs typeface="Calibri"/>
            </a:endParaRPr>
          </a:p>
        </xdr:txBody>
      </xdr:sp>
      <xdr:sp macro="" textlink="">
        <xdr:nvSpPr>
          <xdr:cNvPr id="36" name="Rectangle: Diagonal Corners Rounded 35">
            <a:extLst>
              <a:ext uri="{FF2B5EF4-FFF2-40B4-BE49-F238E27FC236}">
                <a16:creationId xmlns:a16="http://schemas.microsoft.com/office/drawing/2014/main" id="{62404C17-96D6-4815-A944-AC671820C3B6}"/>
              </a:ext>
            </a:extLst>
          </xdr:cNvPr>
          <xdr:cNvSpPr/>
        </xdr:nvSpPr>
        <xdr:spPr>
          <a:xfrm>
            <a:off x="8824562" y="2643186"/>
            <a:ext cx="4786856" cy="1666876"/>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rgbClr val="21FAFF"/>
                </a:solidFill>
                <a:latin typeface="Arial Black" panose="020B0A04020102020204" pitchFamily="34" charset="0"/>
                <a:ea typeface="Calibri"/>
                <a:cs typeface="Calibri"/>
              </a:rPr>
              <a:t>Total Revenue</a:t>
            </a:r>
          </a:p>
        </xdr:txBody>
      </xdr:sp>
      <xdr:sp macro="" textlink="'Pivot Tables'!C14">
        <xdr:nvSpPr>
          <xdr:cNvPr id="37" name="TextBox 36">
            <a:extLst>
              <a:ext uri="{FF2B5EF4-FFF2-40B4-BE49-F238E27FC236}">
                <a16:creationId xmlns:a16="http://schemas.microsoft.com/office/drawing/2014/main" id="{3B452B3C-AE1B-4052-9CC2-3F9204C5B2D7}"/>
              </a:ext>
            </a:extLst>
          </xdr:cNvPr>
          <xdr:cNvSpPr txBox="1"/>
        </xdr:nvSpPr>
        <xdr:spPr>
          <a:xfrm>
            <a:off x="9125871" y="2071687"/>
            <a:ext cx="3975436" cy="1047751"/>
          </a:xfrm>
          <a:prstGeom prst="rect">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3A8BF7E-9807-4CD7-9D4A-21ED5C832711}" type="TxLink">
              <a:rPr lang="en-US" sz="2800" b="1" i="0" u="none" strike="noStrike">
                <a:solidFill>
                  <a:srgbClr val="21FAFF"/>
                </a:solidFill>
                <a:latin typeface="Arial Black" panose="020B0A04020102020204" pitchFamily="34" charset="0"/>
                <a:ea typeface="Calibri"/>
                <a:cs typeface="Calibri"/>
              </a:rPr>
              <a:pPr marL="0" indent="0" algn="ctr"/>
              <a:t> $87,766 </a:t>
            </a:fld>
            <a:endParaRPr lang="en-US" sz="2800" b="1" i="0" u="none" strike="noStrike">
              <a:solidFill>
                <a:srgbClr val="21FAFF"/>
              </a:solidFill>
              <a:latin typeface="Arial Black" panose="020B0A04020102020204" pitchFamily="34" charset="0"/>
              <a:ea typeface="Calibri"/>
              <a:cs typeface="Calibri"/>
            </a:endParaRPr>
          </a:p>
        </xdr:txBody>
      </xdr:sp>
      <xdr:sp macro="" textlink="">
        <xdr:nvSpPr>
          <xdr:cNvPr id="50" name="Rectangle: Diagonal Corners Rounded 49">
            <a:extLst>
              <a:ext uri="{FF2B5EF4-FFF2-40B4-BE49-F238E27FC236}">
                <a16:creationId xmlns:a16="http://schemas.microsoft.com/office/drawing/2014/main" id="{2FF6DAFC-C4BC-49E2-91C4-02B77805911F}"/>
              </a:ext>
            </a:extLst>
          </xdr:cNvPr>
          <xdr:cNvSpPr/>
        </xdr:nvSpPr>
        <xdr:spPr>
          <a:xfrm>
            <a:off x="-4443381" y="2532522"/>
            <a:ext cx="4619627" cy="1666877"/>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rgbClr val="21FAFF"/>
                </a:solidFill>
                <a:latin typeface="Arial Black" panose="020B0A04020102020204" pitchFamily="34" charset="0"/>
                <a:ea typeface="Calibri"/>
                <a:cs typeface="Calibri"/>
              </a:rPr>
              <a:t>Total Orders</a:t>
            </a:r>
          </a:p>
        </xdr:txBody>
      </xdr:sp>
      <xdr:sp macro="" textlink="'Pivot Tables'!D14">
        <xdr:nvSpPr>
          <xdr:cNvPr id="51" name="TextBox 50">
            <a:extLst>
              <a:ext uri="{FF2B5EF4-FFF2-40B4-BE49-F238E27FC236}">
                <a16:creationId xmlns:a16="http://schemas.microsoft.com/office/drawing/2014/main" id="{164EB353-18AC-4000-A41C-1AE8A1CA5240}"/>
              </a:ext>
            </a:extLst>
          </xdr:cNvPr>
          <xdr:cNvSpPr txBox="1"/>
        </xdr:nvSpPr>
        <xdr:spPr>
          <a:xfrm>
            <a:off x="-3167431" y="1945607"/>
            <a:ext cx="2390776" cy="1214437"/>
          </a:xfrm>
          <a:prstGeom prst="rect">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DE47EBA-B2EF-4019-B337-8E7B924F2856}" type="TxLink">
              <a:rPr lang="en-US" sz="2800" b="1" i="0" u="none" strike="noStrike">
                <a:solidFill>
                  <a:srgbClr val="21FAFF"/>
                </a:solidFill>
                <a:latin typeface="Arial Black" panose="020B0A04020102020204" pitchFamily="34" charset="0"/>
                <a:ea typeface="Calibri"/>
                <a:cs typeface="Calibri"/>
              </a:rPr>
              <a:pPr marL="0" indent="0" algn="ctr"/>
              <a:t>91</a:t>
            </a:fld>
            <a:endParaRPr lang="en-US" sz="2800" b="1" i="0" u="none" strike="noStrike">
              <a:solidFill>
                <a:srgbClr val="21FAFF"/>
              </a:solidFill>
              <a:latin typeface="Arial Black" panose="020B0A04020102020204" pitchFamily="34" charset="0"/>
              <a:ea typeface="Calibri"/>
              <a:cs typeface="Calibri"/>
            </a:endParaRPr>
          </a:p>
        </xdr:txBody>
      </xdr:sp>
      <xdr:sp macro="" textlink="'Pivot Tables'!G13:H14">
        <xdr:nvSpPr>
          <xdr:cNvPr id="52" name="Rectangle: Diagonal Corners Rounded 51">
            <a:extLst>
              <a:ext uri="{FF2B5EF4-FFF2-40B4-BE49-F238E27FC236}">
                <a16:creationId xmlns:a16="http://schemas.microsoft.com/office/drawing/2014/main" id="{9A213D56-2EE4-4A09-A3F5-8E15E3532984}"/>
              </a:ext>
            </a:extLst>
          </xdr:cNvPr>
          <xdr:cNvSpPr/>
        </xdr:nvSpPr>
        <xdr:spPr>
          <a:xfrm>
            <a:off x="-4991054" y="4364030"/>
            <a:ext cx="5360040" cy="2714626"/>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913424-7B72-4AD9-93A0-A6BA12BE678C}" type="TxLink">
              <a:rPr lang="en-US" sz="2400" b="1" i="0" u="none" strike="noStrike">
                <a:solidFill>
                  <a:srgbClr val="21FAFF"/>
                </a:solidFill>
                <a:latin typeface="Arial Black" panose="020B0A04020102020204" pitchFamily="34" charset="0"/>
                <a:ea typeface="Calibri"/>
                <a:cs typeface="Calibri"/>
              </a:rPr>
              <a:pPr marL="0" indent="0" algn="ctr"/>
              <a:t>AOV = 964.46</a:t>
            </a:fld>
            <a:endParaRPr lang="en-US" sz="2400" b="1" i="0" u="none" strike="noStrike">
              <a:solidFill>
                <a:srgbClr val="21FAFF"/>
              </a:solidFill>
              <a:latin typeface="Arial Black" panose="020B0A04020102020204" pitchFamily="34" charset="0"/>
              <a:ea typeface="Calibri"/>
              <a:cs typeface="Calibri"/>
            </a:endParaRPr>
          </a:p>
        </xdr:txBody>
      </xdr:sp>
      <xdr:sp macro="" textlink="'Pivot Tables'!F3:H4">
        <xdr:nvSpPr>
          <xdr:cNvPr id="21" name="Rectangle: Diagonal Corners Rounded 20">
            <a:extLst>
              <a:ext uri="{FF2B5EF4-FFF2-40B4-BE49-F238E27FC236}">
                <a16:creationId xmlns:a16="http://schemas.microsoft.com/office/drawing/2014/main" id="{114C3982-AF83-4E3A-AFF0-A95FFE845D9F}"/>
              </a:ext>
            </a:extLst>
          </xdr:cNvPr>
          <xdr:cNvSpPr/>
        </xdr:nvSpPr>
        <xdr:spPr>
          <a:xfrm>
            <a:off x="15011201" y="1905432"/>
            <a:ext cx="6929442" cy="2714625"/>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9B1A48-81CC-44CF-9456-2E88894E37CB}" type="TxLink">
              <a:rPr lang="en-US" sz="2400" b="1" i="0" u="none" strike="noStrike">
                <a:solidFill>
                  <a:srgbClr val="21FAFF"/>
                </a:solidFill>
                <a:latin typeface="Arial Black" panose="020B0A04020102020204" pitchFamily="34" charset="0"/>
                <a:ea typeface="Calibri"/>
                <a:cs typeface="Calibri"/>
              </a:rPr>
              <a:pPr marL="0" indent="0" algn="ctr"/>
              <a:t>Top Selling Product = shoes</a:t>
            </a:fld>
            <a:endParaRPr lang="en-US" sz="2400" b="1" i="0" u="none" strike="noStrike">
              <a:solidFill>
                <a:srgbClr val="21FAFF"/>
              </a:solidFill>
              <a:latin typeface="Arial Black" panose="020B0A04020102020204" pitchFamily="34" charset="0"/>
              <a:ea typeface="Calibri"/>
              <a:cs typeface="Calibri"/>
            </a:endParaRPr>
          </a:p>
        </xdr:txBody>
      </xdr:sp>
      <xdr:sp macro="" textlink="'Pivot Tables'!Q4:S5">
        <xdr:nvSpPr>
          <xdr:cNvPr id="58" name="Rectangle: Diagonal Corners Rounded 57">
            <a:extLst>
              <a:ext uri="{FF2B5EF4-FFF2-40B4-BE49-F238E27FC236}">
                <a16:creationId xmlns:a16="http://schemas.microsoft.com/office/drawing/2014/main" id="{D2FB5426-D64B-4AC5-9796-928804B015D4}"/>
              </a:ext>
            </a:extLst>
          </xdr:cNvPr>
          <xdr:cNvSpPr/>
        </xdr:nvSpPr>
        <xdr:spPr>
          <a:xfrm>
            <a:off x="58571" y="4810126"/>
            <a:ext cx="7702047" cy="2714625"/>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464F6-35E7-46DC-9B16-8E187FD95E17}" type="TxLink">
              <a:rPr lang="en-US" sz="2400" b="1" i="0" u="none" strike="noStrike">
                <a:solidFill>
                  <a:srgbClr val="21FAFF"/>
                </a:solidFill>
                <a:latin typeface="Arial Black" panose="020B0A04020102020204" pitchFamily="34" charset="0"/>
                <a:ea typeface="Calibri"/>
                <a:cs typeface="Calibri"/>
              </a:rPr>
              <a:pPr marL="0" indent="0" algn="ctr"/>
              <a:t>Top Selling Category = Clothings</a:t>
            </a:fld>
            <a:endParaRPr lang="en-US" sz="2400" b="1" i="0" u="none" strike="noStrike">
              <a:solidFill>
                <a:srgbClr val="21FAFF"/>
              </a:solidFill>
              <a:latin typeface="Arial Black" panose="020B0A04020102020204" pitchFamily="34" charset="0"/>
              <a:ea typeface="Calibri"/>
              <a:cs typeface="Calibri"/>
            </a:endParaRPr>
          </a:p>
        </xdr:txBody>
      </xdr:sp>
      <xdr:sp macro="" textlink="'Pivot Tables'!P19:S20">
        <xdr:nvSpPr>
          <xdr:cNvPr id="59" name="Rectangle: Diagonal Corners Rounded 58">
            <a:extLst>
              <a:ext uri="{FF2B5EF4-FFF2-40B4-BE49-F238E27FC236}">
                <a16:creationId xmlns:a16="http://schemas.microsoft.com/office/drawing/2014/main" id="{FCA2E62B-7B29-42EE-9863-AE9BAB1A4683}"/>
              </a:ext>
            </a:extLst>
          </xdr:cNvPr>
          <xdr:cNvSpPr/>
        </xdr:nvSpPr>
        <xdr:spPr>
          <a:xfrm>
            <a:off x="7178129" y="4904822"/>
            <a:ext cx="6929442" cy="2714625"/>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63D8F72-E66F-4D15-B259-96597572F75B}" type="TxLink">
              <a:rPr lang="en-US" sz="2400" b="1" i="0" u="none" strike="noStrike">
                <a:solidFill>
                  <a:srgbClr val="21FAFF"/>
                </a:solidFill>
                <a:latin typeface="Arial Black" panose="020B0A04020102020204" pitchFamily="34" charset="0"/>
                <a:ea typeface="Calibri"/>
                <a:cs typeface="Calibri"/>
              </a:rPr>
              <a:pPr marL="0" indent="0" algn="ctr"/>
              <a:t>Highiest Quantity Product = shoes</a:t>
            </a:fld>
            <a:endParaRPr lang="en-US" sz="2400" b="1" i="0" u="none" strike="noStrike">
              <a:solidFill>
                <a:srgbClr val="21FAFF"/>
              </a:solidFill>
              <a:latin typeface="Arial Black" panose="020B0A04020102020204" pitchFamily="34" charset="0"/>
              <a:ea typeface="Calibri"/>
              <a:cs typeface="Calibri"/>
            </a:endParaRPr>
          </a:p>
        </xdr:txBody>
      </xdr:sp>
      <xdr:sp macro="" textlink="'Pivot Tables'!P12:T13">
        <xdr:nvSpPr>
          <xdr:cNvPr id="60" name="Rectangle: Diagonal Corners Rounded 59">
            <a:extLst>
              <a:ext uri="{FF2B5EF4-FFF2-40B4-BE49-F238E27FC236}">
                <a16:creationId xmlns:a16="http://schemas.microsoft.com/office/drawing/2014/main" id="{4B3DD624-6956-433D-890A-2F59C0443318}"/>
              </a:ext>
            </a:extLst>
          </xdr:cNvPr>
          <xdr:cNvSpPr/>
        </xdr:nvSpPr>
        <xdr:spPr>
          <a:xfrm>
            <a:off x="13887126" y="5011703"/>
            <a:ext cx="9336855" cy="2714625"/>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F3CB892-CAD8-40C8-B9D6-070B020CBC1F}" type="TxLink">
              <a:rPr lang="en-US" sz="2400" b="1" i="0" u="none" strike="noStrike">
                <a:solidFill>
                  <a:srgbClr val="21FAFF"/>
                </a:solidFill>
                <a:latin typeface="Arial Black" panose="020B0A04020102020204" pitchFamily="34" charset="0"/>
                <a:ea typeface="Calibri"/>
                <a:cs typeface="Calibri"/>
              </a:rPr>
              <a:pPr marL="0" indent="0" algn="ctr"/>
              <a:t>Most Used Payment Method = Cash on Delivery</a:t>
            </a:fld>
            <a:endParaRPr lang="en-US" sz="2400" b="1" i="0" u="none" strike="noStrike">
              <a:solidFill>
                <a:srgbClr val="21FAFF"/>
              </a:solidFill>
              <a:latin typeface="Arial Black" panose="020B0A04020102020204" pitchFamily="34" charset="0"/>
              <a:ea typeface="Calibri"/>
              <a:cs typeface="Calibri"/>
            </a:endParaRPr>
          </a:p>
        </xdr:txBody>
      </xdr:sp>
      <xdr:sp macro="" textlink="'Pivot Tables'!B23">
        <xdr:nvSpPr>
          <xdr:cNvPr id="61" name="Rectangle: Diagonal Corners Rounded 60">
            <a:extLst>
              <a:ext uri="{FF2B5EF4-FFF2-40B4-BE49-F238E27FC236}">
                <a16:creationId xmlns:a16="http://schemas.microsoft.com/office/drawing/2014/main" id="{2C4CE287-E630-4C57-ABAF-FE2212D77CAA}"/>
              </a:ext>
            </a:extLst>
          </xdr:cNvPr>
          <xdr:cNvSpPr/>
        </xdr:nvSpPr>
        <xdr:spPr>
          <a:xfrm>
            <a:off x="46330323" y="1916633"/>
            <a:ext cx="3461252" cy="1476373"/>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001AE1D-2A28-4A8F-B37D-119EDD5F2F91}" type="TxLink">
              <a:rPr lang="en-US" sz="2400" b="1" i="0" u="none" strike="noStrike">
                <a:solidFill>
                  <a:srgbClr val="21FAFF"/>
                </a:solidFill>
                <a:latin typeface="Arial Black" panose="020B0A04020102020204" pitchFamily="34" charset="0"/>
                <a:ea typeface="Calibri"/>
                <a:cs typeface="Calibri"/>
              </a:rPr>
              <a:pPr marL="0" indent="0" algn="ctr"/>
              <a:t>15.38%</a:t>
            </a:fld>
            <a:endParaRPr lang="en-US" sz="2400" b="1" i="0" u="none" strike="noStrike">
              <a:solidFill>
                <a:srgbClr val="21FAFF"/>
              </a:solidFill>
              <a:latin typeface="Arial Black" panose="020B0A04020102020204" pitchFamily="34" charset="0"/>
              <a:ea typeface="Calibri"/>
              <a:cs typeface="Calibri"/>
            </a:endParaRPr>
          </a:p>
        </xdr:txBody>
      </xdr:sp>
      <xdr:sp macro="" textlink="">
        <xdr:nvSpPr>
          <xdr:cNvPr id="80" name="Rectangle: Diagonal Corners Rounded 79">
            <a:extLst>
              <a:ext uri="{FF2B5EF4-FFF2-40B4-BE49-F238E27FC236}">
                <a16:creationId xmlns:a16="http://schemas.microsoft.com/office/drawing/2014/main" id="{E38BF35F-4540-46B6-9C3E-D3A33644F73F}"/>
              </a:ext>
            </a:extLst>
          </xdr:cNvPr>
          <xdr:cNvSpPr/>
        </xdr:nvSpPr>
        <xdr:spPr>
          <a:xfrm>
            <a:off x="37236501" y="3357008"/>
            <a:ext cx="3570750" cy="952501"/>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rgbClr val="21FAFF"/>
                </a:solidFill>
                <a:latin typeface="Arial Black" panose="020B0A04020102020204" pitchFamily="34" charset="0"/>
                <a:ea typeface="Calibri"/>
                <a:cs typeface="Calibri"/>
              </a:rPr>
              <a:t>Delivered</a:t>
            </a:r>
          </a:p>
        </xdr:txBody>
      </xdr:sp>
      <xdr:sp macro="" textlink="">
        <xdr:nvSpPr>
          <xdr:cNvPr id="81" name="Rectangle: Diagonal Corners Rounded 80">
            <a:extLst>
              <a:ext uri="{FF2B5EF4-FFF2-40B4-BE49-F238E27FC236}">
                <a16:creationId xmlns:a16="http://schemas.microsoft.com/office/drawing/2014/main" id="{0F73A466-A64E-4268-A1E4-7A4866318C3C}"/>
              </a:ext>
            </a:extLst>
          </xdr:cNvPr>
          <xdr:cNvSpPr/>
        </xdr:nvSpPr>
        <xdr:spPr>
          <a:xfrm>
            <a:off x="41816955" y="3178693"/>
            <a:ext cx="3570750" cy="1166811"/>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rgbClr val="21FAFF"/>
                </a:solidFill>
                <a:latin typeface="Arial Black" panose="020B0A04020102020204" pitchFamily="34" charset="0"/>
                <a:ea typeface="Calibri"/>
                <a:cs typeface="Calibri"/>
              </a:rPr>
              <a:t>Returned</a:t>
            </a:r>
          </a:p>
        </xdr:txBody>
      </xdr:sp>
      <xdr:sp macro="" textlink="">
        <xdr:nvSpPr>
          <xdr:cNvPr id="82" name="Rectangle: Diagonal Corners Rounded 81">
            <a:extLst>
              <a:ext uri="{FF2B5EF4-FFF2-40B4-BE49-F238E27FC236}">
                <a16:creationId xmlns:a16="http://schemas.microsoft.com/office/drawing/2014/main" id="{60485242-F7ED-4F18-BCEF-09F49A71D5DA}"/>
              </a:ext>
            </a:extLst>
          </xdr:cNvPr>
          <xdr:cNvSpPr/>
        </xdr:nvSpPr>
        <xdr:spPr>
          <a:xfrm>
            <a:off x="46327858" y="3239049"/>
            <a:ext cx="3447846" cy="1047751"/>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rgbClr val="21FAFF"/>
                </a:solidFill>
                <a:latin typeface="Arial Black" panose="020B0A04020102020204" pitchFamily="34" charset="0"/>
                <a:ea typeface="Calibri"/>
                <a:cs typeface="Calibri"/>
              </a:rPr>
              <a:t>Cancelled</a:t>
            </a:r>
          </a:p>
        </xdr:txBody>
      </xdr:sp>
      <xdr:sp macro="" textlink="'Pivot Tables'!B26">
        <xdr:nvSpPr>
          <xdr:cNvPr id="83" name="Rectangle: Diagonal Corners Rounded 82">
            <a:extLst>
              <a:ext uri="{FF2B5EF4-FFF2-40B4-BE49-F238E27FC236}">
                <a16:creationId xmlns:a16="http://schemas.microsoft.com/office/drawing/2014/main" id="{887C5CFC-92EE-48F4-A8F1-C0B8A3FB43A6}"/>
              </a:ext>
            </a:extLst>
          </xdr:cNvPr>
          <xdr:cNvSpPr/>
        </xdr:nvSpPr>
        <xdr:spPr>
          <a:xfrm>
            <a:off x="41831233" y="1940447"/>
            <a:ext cx="3461252" cy="1476373"/>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7FC8A95-36AC-4804-B039-D3E172AD70C0}" type="TxLink">
              <a:rPr lang="en-US" sz="2400" b="1" i="0" u="none" strike="noStrike">
                <a:solidFill>
                  <a:srgbClr val="21FAFF"/>
                </a:solidFill>
                <a:latin typeface="Arial Black" panose="020B0A04020102020204" pitchFamily="34" charset="0"/>
                <a:ea typeface="Calibri"/>
                <a:cs typeface="Calibri"/>
              </a:rPr>
              <a:pPr marL="0" indent="0" algn="ctr"/>
              <a:t>26.37%</a:t>
            </a:fld>
            <a:endParaRPr lang="en-US" sz="2400" b="1" i="0" u="none" strike="noStrike">
              <a:solidFill>
                <a:srgbClr val="21FAFF"/>
              </a:solidFill>
              <a:latin typeface="Arial Black" panose="020B0A04020102020204" pitchFamily="34" charset="0"/>
              <a:ea typeface="Calibri"/>
              <a:cs typeface="Calibri"/>
            </a:endParaRPr>
          </a:p>
        </xdr:txBody>
      </xdr:sp>
      <xdr:sp macro="" textlink="'Pivot Tables'!B24">
        <xdr:nvSpPr>
          <xdr:cNvPr id="84" name="Rectangle: Diagonal Corners Rounded 83">
            <a:extLst>
              <a:ext uri="{FF2B5EF4-FFF2-40B4-BE49-F238E27FC236}">
                <a16:creationId xmlns:a16="http://schemas.microsoft.com/office/drawing/2014/main" id="{D0BB3002-9610-4977-97B4-CCE1056C6ED0}"/>
              </a:ext>
            </a:extLst>
          </xdr:cNvPr>
          <xdr:cNvSpPr/>
        </xdr:nvSpPr>
        <xdr:spPr>
          <a:xfrm>
            <a:off x="37302459" y="1866052"/>
            <a:ext cx="3461252" cy="1476374"/>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CBC44F6-E44A-4DB6-A6B2-C11A9AD644BD}" type="TxLink">
              <a:rPr lang="en-US" sz="2400" b="1" i="0" u="none" strike="noStrike">
                <a:solidFill>
                  <a:srgbClr val="21FAFF"/>
                </a:solidFill>
                <a:latin typeface="Arial Black" panose="020B0A04020102020204" pitchFamily="34" charset="0"/>
                <a:ea typeface="Calibri"/>
                <a:cs typeface="Calibri"/>
              </a:rPr>
              <a:pPr marL="0" indent="0" algn="ctr"/>
              <a:t>10.99%</a:t>
            </a:fld>
            <a:endParaRPr lang="en-US" sz="2400" b="1" i="0" u="none" strike="noStrike">
              <a:solidFill>
                <a:srgbClr val="21FAFF"/>
              </a:solidFill>
              <a:latin typeface="Arial Black" panose="020B0A04020102020204" pitchFamily="34" charset="0"/>
              <a:ea typeface="Calibri"/>
              <a:cs typeface="Calibri"/>
            </a:endParaRPr>
          </a:p>
        </xdr:txBody>
      </xdr:sp>
      <xdr:sp macro="" textlink="'Pivot 4'!B8">
        <xdr:nvSpPr>
          <xdr:cNvPr id="41" name="Rectangle: Diagonal Corners Rounded 40">
            <a:extLst>
              <a:ext uri="{FF2B5EF4-FFF2-40B4-BE49-F238E27FC236}">
                <a16:creationId xmlns:a16="http://schemas.microsoft.com/office/drawing/2014/main" id="{88240F56-680D-4D78-9825-724DA59941C6}"/>
              </a:ext>
            </a:extLst>
          </xdr:cNvPr>
          <xdr:cNvSpPr/>
        </xdr:nvSpPr>
        <xdr:spPr>
          <a:xfrm>
            <a:off x="36690617" y="4964749"/>
            <a:ext cx="4563578" cy="1476374"/>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272FE28-F95E-4A4E-81A1-52942DDB49CD}" type="TxLink">
              <a:rPr lang="en-US" sz="3200" b="1" i="0" u="none" strike="noStrike">
                <a:solidFill>
                  <a:srgbClr val="21FAFF"/>
                </a:solidFill>
                <a:latin typeface="Arial Black" panose="020B0A04020102020204" pitchFamily="34" charset="0"/>
                <a:ea typeface="Calibri"/>
                <a:cs typeface="Calibri"/>
              </a:rPr>
              <a:pPr marL="0" indent="0" algn="ctr"/>
              <a:t>16130.89</a:t>
            </a:fld>
            <a:endParaRPr lang="en-US" sz="3200" b="1" i="0" u="none" strike="noStrike">
              <a:solidFill>
                <a:srgbClr val="21FAFF"/>
              </a:solidFill>
              <a:latin typeface="Arial Black" panose="020B0A04020102020204" pitchFamily="34" charset="0"/>
              <a:ea typeface="Calibri"/>
              <a:cs typeface="Calibri"/>
            </a:endParaRPr>
          </a:p>
        </xdr:txBody>
      </xdr:sp>
      <xdr:sp macro="" textlink="">
        <xdr:nvSpPr>
          <xdr:cNvPr id="42" name="Rectangle: Diagonal Corners Rounded 41">
            <a:extLst>
              <a:ext uri="{FF2B5EF4-FFF2-40B4-BE49-F238E27FC236}">
                <a16:creationId xmlns:a16="http://schemas.microsoft.com/office/drawing/2014/main" id="{F70AD755-9EB9-4C78-AEA9-B452280CFE99}"/>
              </a:ext>
            </a:extLst>
          </xdr:cNvPr>
          <xdr:cNvSpPr/>
        </xdr:nvSpPr>
        <xdr:spPr>
          <a:xfrm>
            <a:off x="32069473" y="3357008"/>
            <a:ext cx="3570750" cy="952501"/>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rgbClr val="21FAFF"/>
                </a:solidFill>
                <a:latin typeface="Arial Black" panose="020B0A04020102020204" pitchFamily="34" charset="0"/>
                <a:ea typeface="Calibri"/>
                <a:cs typeface="Calibri"/>
              </a:rPr>
              <a:t>Shipped</a:t>
            </a:r>
          </a:p>
        </xdr:txBody>
      </xdr:sp>
      <xdr:sp macro="" textlink="">
        <xdr:nvSpPr>
          <xdr:cNvPr id="43" name="Rectangle: Diagonal Corners Rounded 42">
            <a:extLst>
              <a:ext uri="{FF2B5EF4-FFF2-40B4-BE49-F238E27FC236}">
                <a16:creationId xmlns:a16="http://schemas.microsoft.com/office/drawing/2014/main" id="{28769536-93B2-4CF7-A529-C6DD8FDB76C4}"/>
              </a:ext>
            </a:extLst>
          </xdr:cNvPr>
          <xdr:cNvSpPr/>
        </xdr:nvSpPr>
        <xdr:spPr>
          <a:xfrm>
            <a:off x="26866930" y="3125430"/>
            <a:ext cx="4123400" cy="1266559"/>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rgbClr val="21FAFF"/>
                </a:solidFill>
                <a:latin typeface="Arial Black" panose="020B0A04020102020204" pitchFamily="34" charset="0"/>
                <a:ea typeface="Calibri"/>
                <a:cs typeface="Calibri"/>
              </a:rPr>
              <a:t>Prosesseing</a:t>
            </a:r>
          </a:p>
        </xdr:txBody>
      </xdr:sp>
      <xdr:sp macro="" textlink="'Pivot Tables'!B27">
        <xdr:nvSpPr>
          <xdr:cNvPr id="79" name="Rectangle: Diagonal Corners Rounded 78">
            <a:extLst>
              <a:ext uri="{FF2B5EF4-FFF2-40B4-BE49-F238E27FC236}">
                <a16:creationId xmlns:a16="http://schemas.microsoft.com/office/drawing/2014/main" id="{5A51526E-E0AC-435C-86A0-665845DABCF9}"/>
              </a:ext>
            </a:extLst>
          </xdr:cNvPr>
          <xdr:cNvSpPr/>
        </xdr:nvSpPr>
        <xdr:spPr>
          <a:xfrm>
            <a:off x="32177543" y="1826827"/>
            <a:ext cx="3383808" cy="1476374"/>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1A80706-A88A-412A-9801-5F9738CCA07F}" type="TxLink">
              <a:rPr lang="en-US" sz="2400" b="1" i="0" u="none" strike="noStrike">
                <a:solidFill>
                  <a:srgbClr val="21FAFF"/>
                </a:solidFill>
                <a:latin typeface="Arial Black" panose="020B0A04020102020204" pitchFamily="34" charset="0"/>
                <a:ea typeface="Calibri"/>
                <a:cs typeface="Calibri"/>
              </a:rPr>
              <a:pPr marL="0" indent="0" algn="ctr"/>
              <a:t>23.08%</a:t>
            </a:fld>
            <a:endParaRPr lang="en-US" sz="2400" b="1" i="0" u="none" strike="noStrike">
              <a:solidFill>
                <a:srgbClr val="21FAFF"/>
              </a:solidFill>
              <a:latin typeface="Arial Black" panose="020B0A04020102020204" pitchFamily="34" charset="0"/>
              <a:ea typeface="Calibri"/>
              <a:cs typeface="Calibri"/>
            </a:endParaRPr>
          </a:p>
        </xdr:txBody>
      </xdr:sp>
      <xdr:sp macro="" textlink="'Pivot Tables'!B25">
        <xdr:nvSpPr>
          <xdr:cNvPr id="85" name="Rectangle: Diagonal Corners Rounded 84">
            <a:extLst>
              <a:ext uri="{FF2B5EF4-FFF2-40B4-BE49-F238E27FC236}">
                <a16:creationId xmlns:a16="http://schemas.microsoft.com/office/drawing/2014/main" id="{1A596244-C891-4027-8013-77D1A0C3096B}"/>
              </a:ext>
            </a:extLst>
          </xdr:cNvPr>
          <xdr:cNvSpPr/>
        </xdr:nvSpPr>
        <xdr:spPr>
          <a:xfrm>
            <a:off x="27185917" y="1826825"/>
            <a:ext cx="3461252" cy="1476374"/>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05E29F4-E196-48DA-99A3-2CCFCE0FD85E}" type="TxLink">
              <a:rPr lang="en-US" sz="2400" b="1" i="0" u="none" strike="noStrike">
                <a:solidFill>
                  <a:srgbClr val="21FAFF"/>
                </a:solidFill>
                <a:latin typeface="Arial Black" panose="020B0A04020102020204" pitchFamily="34" charset="0"/>
                <a:ea typeface="Calibri"/>
                <a:cs typeface="Calibri"/>
              </a:rPr>
              <a:pPr marL="0" indent="0" algn="ctr"/>
              <a:t>24.18%</a:t>
            </a:fld>
            <a:endParaRPr lang="en-US" sz="2400" b="1" i="0" u="none" strike="noStrike">
              <a:solidFill>
                <a:srgbClr val="21FAFF"/>
              </a:solidFill>
              <a:latin typeface="Arial Black" panose="020B0A04020102020204" pitchFamily="34" charset="0"/>
              <a:ea typeface="Calibri"/>
              <a:cs typeface="Calibri"/>
            </a:endParaRPr>
          </a:p>
        </xdr:txBody>
      </xdr:sp>
      <xdr:sp macro="" textlink="'Pivot 5'!B9">
        <xdr:nvSpPr>
          <xdr:cNvPr id="86" name="Rectangle: Diagonal Corners Rounded 85">
            <a:extLst>
              <a:ext uri="{FF2B5EF4-FFF2-40B4-BE49-F238E27FC236}">
                <a16:creationId xmlns:a16="http://schemas.microsoft.com/office/drawing/2014/main" id="{CFF25DA7-290C-4612-9942-E55A283C5D8F}"/>
              </a:ext>
            </a:extLst>
          </xdr:cNvPr>
          <xdr:cNvSpPr/>
        </xdr:nvSpPr>
        <xdr:spPr>
          <a:xfrm>
            <a:off x="31567892" y="4964749"/>
            <a:ext cx="4563578" cy="1476374"/>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E8A80C2-A770-468D-91E9-B3DD601C99A9}" type="TxLink">
              <a:rPr lang="en-US" sz="3200" b="1" i="0" u="none" strike="noStrike">
                <a:solidFill>
                  <a:srgbClr val="21FAFF"/>
                </a:solidFill>
                <a:latin typeface="Arial Black" panose="020B0A04020102020204" pitchFamily="34" charset="0"/>
                <a:ea typeface="Calibri"/>
                <a:cs typeface="Calibri"/>
              </a:rPr>
              <a:pPr marL="0" indent="0" algn="ctr"/>
              <a:t> $87,766 </a:t>
            </a:fld>
            <a:endParaRPr lang="en-US" sz="3200" b="1" i="0" u="none" strike="noStrike">
              <a:solidFill>
                <a:srgbClr val="21FAFF"/>
              </a:solidFill>
              <a:latin typeface="Arial Black" panose="020B0A04020102020204" pitchFamily="34" charset="0"/>
              <a:ea typeface="Calibri"/>
              <a:cs typeface="Calibri"/>
            </a:endParaRPr>
          </a:p>
        </xdr:txBody>
      </xdr:sp>
      <xdr:sp macro="" textlink="'Pivot 6'!B9">
        <xdr:nvSpPr>
          <xdr:cNvPr id="87" name="Rectangle: Diagonal Corners Rounded 86">
            <a:extLst>
              <a:ext uri="{FF2B5EF4-FFF2-40B4-BE49-F238E27FC236}">
                <a16:creationId xmlns:a16="http://schemas.microsoft.com/office/drawing/2014/main" id="{104FF570-E07D-45B6-B4A9-191E78156548}"/>
              </a:ext>
            </a:extLst>
          </xdr:cNvPr>
          <xdr:cNvSpPr/>
        </xdr:nvSpPr>
        <xdr:spPr>
          <a:xfrm>
            <a:off x="26467515" y="4929307"/>
            <a:ext cx="4563578" cy="1476373"/>
          </a:xfrm>
          <a:prstGeom prst="round2DiagRect">
            <a:avLst>
              <a:gd name="adj1" fmla="val 16667"/>
              <a:gd name="adj2" fmla="val 44666"/>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2611A6B-89B1-4030-BEC7-E5B0C4602786}" type="TxLink">
              <a:rPr lang="en-US" sz="3200" b="1" i="0" u="none" strike="noStrike">
                <a:solidFill>
                  <a:srgbClr val="21FAFF"/>
                </a:solidFill>
                <a:latin typeface="Arial Black" panose="020B0A04020102020204" pitchFamily="34" charset="0"/>
                <a:ea typeface="Calibri"/>
                <a:cs typeface="Calibri"/>
              </a:rPr>
              <a:pPr marL="0" indent="0" algn="ctr"/>
              <a:t> $87,766 </a:t>
            </a:fld>
            <a:endParaRPr lang="en-US" sz="3200" b="1" i="0" u="none" strike="noStrike">
              <a:solidFill>
                <a:srgbClr val="21FAFF"/>
              </a:solidFill>
              <a:latin typeface="Arial Black" panose="020B0A04020102020204" pitchFamily="34" charset="0"/>
              <a:ea typeface="Calibri"/>
              <a:cs typeface="Calibri"/>
            </a:endParaRPr>
          </a:p>
        </xdr:txBody>
      </xdr:sp>
    </xdr:grpSp>
    <xdr:clientData/>
  </xdr:twoCellAnchor>
  <xdr:twoCellAnchor>
    <xdr:from>
      <xdr:col>1</xdr:col>
      <xdr:colOff>217714</xdr:colOff>
      <xdr:row>1</xdr:row>
      <xdr:rowOff>68035</xdr:rowOff>
    </xdr:from>
    <xdr:to>
      <xdr:col>65</xdr:col>
      <xdr:colOff>190500</xdr:colOff>
      <xdr:row>10</xdr:row>
      <xdr:rowOff>71436</xdr:rowOff>
    </xdr:to>
    <xdr:sp macro="" textlink="">
      <xdr:nvSpPr>
        <xdr:cNvPr id="13" name="Rectangle 12">
          <a:extLst>
            <a:ext uri="{FF2B5EF4-FFF2-40B4-BE49-F238E27FC236}">
              <a16:creationId xmlns:a16="http://schemas.microsoft.com/office/drawing/2014/main" id="{391F25D0-7083-432D-8DF2-3BC855D5AABD}"/>
            </a:ext>
          </a:extLst>
        </xdr:cNvPr>
        <xdr:cNvSpPr/>
      </xdr:nvSpPr>
      <xdr:spPr>
        <a:xfrm>
          <a:off x="836839" y="258535"/>
          <a:ext cx="39596786" cy="1717901"/>
        </a:xfrm>
        <a:prstGeom prst="rect">
          <a:avLst/>
        </a:prstGeom>
        <a:gradFill flip="none" rotWithShape="1">
          <a:gsLst>
            <a:gs pos="29000">
              <a:srgbClr val="023084"/>
            </a:gs>
            <a:gs pos="100000">
              <a:srgbClr val="022462"/>
            </a:gs>
          </a:gsLst>
          <a:path path="shape">
            <a:fillToRect l="50000" t="50000" r="50000" b="50000"/>
          </a:path>
          <a:tileRect/>
        </a:gradFill>
        <a:ln>
          <a:noFill/>
        </a:ln>
        <a:effectLst>
          <a:outerShdw blurRad="431800" dist="190500" dir="1080000" algn="ctr"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600">
              <a:solidFill>
                <a:schemeClr val="accent1"/>
              </a:solidFill>
              <a:latin typeface="Elephant" panose="02020904090505020303" pitchFamily="18" charset="0"/>
            </a:rPr>
            <a:t>Ecommerce Sales Dashboard</a:t>
          </a:r>
        </a:p>
      </xdr:txBody>
    </xdr:sp>
    <xdr:clientData/>
  </xdr:twoCellAnchor>
  <xdr:twoCellAnchor>
    <xdr:from>
      <xdr:col>12</xdr:col>
      <xdr:colOff>428626</xdr:colOff>
      <xdr:row>32</xdr:row>
      <xdr:rowOff>47625</xdr:rowOff>
    </xdr:from>
    <xdr:to>
      <xdr:col>65</xdr:col>
      <xdr:colOff>4763</xdr:colOff>
      <xdr:row>89</xdr:row>
      <xdr:rowOff>47625</xdr:rowOff>
    </xdr:to>
    <xdr:grpSp>
      <xdr:nvGrpSpPr>
        <xdr:cNvPr id="6" name="Group 5">
          <a:extLst>
            <a:ext uri="{FF2B5EF4-FFF2-40B4-BE49-F238E27FC236}">
              <a16:creationId xmlns:a16="http://schemas.microsoft.com/office/drawing/2014/main" id="{8DCC762B-84CF-41E4-858A-0499E8ABC41B}"/>
            </a:ext>
          </a:extLst>
        </xdr:cNvPr>
        <xdr:cNvGrpSpPr/>
      </xdr:nvGrpSpPr>
      <xdr:grpSpPr>
        <a:xfrm>
          <a:off x="7858126" y="6143625"/>
          <a:ext cx="32389762" cy="10858500"/>
          <a:chOff x="261938" y="5786438"/>
          <a:chExt cx="32389762" cy="10858500"/>
        </a:xfrm>
      </xdr:grpSpPr>
      <xdr:sp macro="" textlink="">
        <xdr:nvSpPr>
          <xdr:cNvPr id="17" name="Rectangle: Rounded Corners 16">
            <a:extLst>
              <a:ext uri="{FF2B5EF4-FFF2-40B4-BE49-F238E27FC236}">
                <a16:creationId xmlns:a16="http://schemas.microsoft.com/office/drawing/2014/main" id="{D37DA7A7-C4C0-4262-9AEE-3602218BCF4B}"/>
              </a:ext>
            </a:extLst>
          </xdr:cNvPr>
          <xdr:cNvSpPr/>
        </xdr:nvSpPr>
        <xdr:spPr>
          <a:xfrm>
            <a:off x="18311812" y="5810250"/>
            <a:ext cx="14339887" cy="5405438"/>
          </a:xfrm>
          <a:prstGeom prst="roundRect">
            <a:avLst/>
          </a:prstGeom>
          <a:solidFill>
            <a:srgbClr val="243C72"/>
          </a:solidFill>
          <a:ln>
            <a:noFill/>
          </a:ln>
          <a:effectLst>
            <a:outerShdw blurRad="431800" dist="190500" dir="1080000" algn="ctr" rotWithShape="0">
              <a:srgbClr val="000000">
                <a:alpha val="41000"/>
              </a:srgbClr>
            </a:outerShdw>
          </a:effectLst>
          <a:scene3d>
            <a:camera prst="orthographicFront"/>
            <a:lightRig rig="morning" dir="t"/>
          </a:scene3d>
          <a:sp3d prstMaterial="dkEdge">
            <a:bevelT prst="angle"/>
            <a:bevelB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Rectangle: Rounded Corners 65">
            <a:extLst>
              <a:ext uri="{FF2B5EF4-FFF2-40B4-BE49-F238E27FC236}">
                <a16:creationId xmlns:a16="http://schemas.microsoft.com/office/drawing/2014/main" id="{80A080AE-0226-4481-96C6-094ECAC048F2}"/>
              </a:ext>
            </a:extLst>
          </xdr:cNvPr>
          <xdr:cNvSpPr/>
        </xdr:nvSpPr>
        <xdr:spPr>
          <a:xfrm>
            <a:off x="18224957" y="11239500"/>
            <a:ext cx="14426743" cy="5405438"/>
          </a:xfrm>
          <a:prstGeom prst="roundRect">
            <a:avLst/>
          </a:prstGeom>
          <a:solidFill>
            <a:srgbClr val="243C72"/>
          </a:solidFill>
          <a:ln>
            <a:noFill/>
          </a:ln>
          <a:effectLst>
            <a:outerShdw blurRad="431800" dist="190500" dir="1080000" algn="ctr" rotWithShape="0">
              <a:srgbClr val="000000">
                <a:alpha val="41000"/>
              </a:srgbClr>
            </a:outerShdw>
          </a:effectLst>
          <a:scene3d>
            <a:camera prst="orthographicFront"/>
            <a:lightRig rig="morning" dir="t"/>
          </a:scene3d>
          <a:sp3d prstMaterial="dkEdge">
            <a:bevelT prst="angle"/>
            <a:bevelB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Rectangle: Rounded Corners 67">
            <a:extLst>
              <a:ext uri="{FF2B5EF4-FFF2-40B4-BE49-F238E27FC236}">
                <a16:creationId xmlns:a16="http://schemas.microsoft.com/office/drawing/2014/main" id="{E75A7EA7-1A03-4AE9-93D4-E1ECBB06EC38}"/>
              </a:ext>
            </a:extLst>
          </xdr:cNvPr>
          <xdr:cNvSpPr/>
        </xdr:nvSpPr>
        <xdr:spPr>
          <a:xfrm>
            <a:off x="261938" y="5943597"/>
            <a:ext cx="3881437" cy="10391777"/>
          </a:xfrm>
          <a:prstGeom prst="roundRect">
            <a:avLst/>
          </a:prstGeom>
          <a:solidFill>
            <a:srgbClr val="243C72"/>
          </a:solidFill>
          <a:ln>
            <a:noFill/>
          </a:ln>
          <a:effectLst>
            <a:outerShdw blurRad="431800" dist="190500" dir="1080000" algn="ctr" rotWithShape="0">
              <a:srgbClr val="000000">
                <a:alpha val="41000"/>
              </a:srgbClr>
            </a:outerShdw>
          </a:effectLst>
          <a:scene3d>
            <a:camera prst="orthographicFront"/>
            <a:lightRig rig="morning" dir="t"/>
          </a:scene3d>
          <a:sp3d prstMaterial="dkEdge">
            <a:bevelT prst="angle"/>
            <a:bevelB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Rectangle: Rounded Corners 76">
            <a:extLst>
              <a:ext uri="{FF2B5EF4-FFF2-40B4-BE49-F238E27FC236}">
                <a16:creationId xmlns:a16="http://schemas.microsoft.com/office/drawing/2014/main" id="{DD3F6C5D-7400-4932-A895-1FC67D0DDEE1}"/>
              </a:ext>
            </a:extLst>
          </xdr:cNvPr>
          <xdr:cNvSpPr/>
        </xdr:nvSpPr>
        <xdr:spPr>
          <a:xfrm>
            <a:off x="11406189" y="5834062"/>
            <a:ext cx="6596062" cy="5310188"/>
          </a:xfrm>
          <a:prstGeom prst="roundRect">
            <a:avLst/>
          </a:prstGeom>
          <a:solidFill>
            <a:srgbClr val="243C72"/>
          </a:solidFill>
          <a:ln>
            <a:noFill/>
          </a:ln>
          <a:effectLst>
            <a:outerShdw blurRad="431800" dist="190500" dir="1080000" algn="ctr" rotWithShape="0">
              <a:srgbClr val="000000">
                <a:alpha val="41000"/>
              </a:srgbClr>
            </a:outerShdw>
          </a:effectLst>
          <a:scene3d>
            <a:camera prst="orthographicFront"/>
            <a:lightRig rig="morning" dir="t"/>
          </a:scene3d>
          <a:sp3d prstMaterial="dkEdge">
            <a:bevelT prst="angle"/>
            <a:bevelB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Rectangle: Rounded Corners 77">
            <a:extLst>
              <a:ext uri="{FF2B5EF4-FFF2-40B4-BE49-F238E27FC236}">
                <a16:creationId xmlns:a16="http://schemas.microsoft.com/office/drawing/2014/main" id="{0DEFDB8C-A65B-4C14-AD15-42414A2494BD}"/>
              </a:ext>
            </a:extLst>
          </xdr:cNvPr>
          <xdr:cNvSpPr/>
        </xdr:nvSpPr>
        <xdr:spPr>
          <a:xfrm>
            <a:off x="11358564" y="11263312"/>
            <a:ext cx="6596062" cy="5310188"/>
          </a:xfrm>
          <a:prstGeom prst="roundRect">
            <a:avLst/>
          </a:prstGeom>
          <a:solidFill>
            <a:srgbClr val="243C72"/>
          </a:solidFill>
          <a:ln>
            <a:noFill/>
          </a:ln>
          <a:effectLst>
            <a:outerShdw blurRad="431800" dist="190500" dir="1080000" algn="ctr" rotWithShape="0">
              <a:srgbClr val="000000">
                <a:alpha val="41000"/>
              </a:srgbClr>
            </a:outerShdw>
          </a:effectLst>
          <a:scene3d>
            <a:camera prst="orthographicFront"/>
            <a:lightRig rig="morning" dir="t"/>
          </a:scene3d>
          <a:sp3d prstMaterial="dkEdge">
            <a:bevelT prst="angle"/>
            <a:bevelB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3" name="Rectangle: Rounded Corners 92">
            <a:extLst>
              <a:ext uri="{FF2B5EF4-FFF2-40B4-BE49-F238E27FC236}">
                <a16:creationId xmlns:a16="http://schemas.microsoft.com/office/drawing/2014/main" id="{B596EAAE-A306-4662-A220-10B636489600}"/>
              </a:ext>
            </a:extLst>
          </xdr:cNvPr>
          <xdr:cNvSpPr/>
        </xdr:nvSpPr>
        <xdr:spPr>
          <a:xfrm>
            <a:off x="4667250" y="5786438"/>
            <a:ext cx="6596062" cy="5310188"/>
          </a:xfrm>
          <a:prstGeom prst="roundRect">
            <a:avLst/>
          </a:prstGeom>
          <a:solidFill>
            <a:srgbClr val="243C72"/>
          </a:solidFill>
          <a:ln>
            <a:noFill/>
          </a:ln>
          <a:effectLst>
            <a:outerShdw blurRad="431800" dist="190500" dir="1080000" algn="ctr" rotWithShape="0">
              <a:srgbClr val="000000">
                <a:alpha val="41000"/>
              </a:srgbClr>
            </a:outerShdw>
          </a:effectLst>
          <a:scene3d>
            <a:camera prst="orthographicFront"/>
            <a:lightRig rig="morning" dir="t"/>
          </a:scene3d>
          <a:sp3d prstMaterial="dkEdge">
            <a:bevelT prst="angle"/>
            <a:bevelB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4" name="Rectangle: Rounded Corners 93">
            <a:extLst>
              <a:ext uri="{FF2B5EF4-FFF2-40B4-BE49-F238E27FC236}">
                <a16:creationId xmlns:a16="http://schemas.microsoft.com/office/drawing/2014/main" id="{5A9F553A-D899-4DA6-A615-F168C99D4855}"/>
              </a:ext>
            </a:extLst>
          </xdr:cNvPr>
          <xdr:cNvSpPr/>
        </xdr:nvSpPr>
        <xdr:spPr>
          <a:xfrm>
            <a:off x="4619625" y="11215688"/>
            <a:ext cx="6596062" cy="5310188"/>
          </a:xfrm>
          <a:prstGeom prst="roundRect">
            <a:avLst/>
          </a:prstGeom>
          <a:solidFill>
            <a:srgbClr val="243C72"/>
          </a:solidFill>
          <a:ln>
            <a:noFill/>
          </a:ln>
          <a:effectLst>
            <a:outerShdw blurRad="431800" dist="190500" dir="1080000" algn="ctr" rotWithShape="0">
              <a:srgbClr val="000000">
                <a:alpha val="41000"/>
              </a:srgbClr>
            </a:outerShdw>
          </a:effectLst>
          <a:scene3d>
            <a:camera prst="orthographicFront"/>
            <a:lightRig rig="morning" dir="t"/>
          </a:scene3d>
          <a:sp3d prstMaterial="dkEdge">
            <a:bevelT prst="angle"/>
            <a:bevelB prst="slop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2" name="Chart 111">
            <a:extLst>
              <a:ext uri="{FF2B5EF4-FFF2-40B4-BE49-F238E27FC236}">
                <a16:creationId xmlns:a16="http://schemas.microsoft.com/office/drawing/2014/main" id="{3FD60B73-0F0B-4B8A-8131-DEC9854CFB33}"/>
              </a:ext>
            </a:extLst>
          </xdr:cNvPr>
          <xdr:cNvGraphicFramePr>
            <a:graphicFrameLocks/>
          </xdr:cNvGraphicFramePr>
        </xdr:nvGraphicFramePr>
        <xdr:xfrm>
          <a:off x="19222154" y="6000751"/>
          <a:ext cx="13115222" cy="479944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3" name="Chart 112">
            <a:extLst>
              <a:ext uri="{FF2B5EF4-FFF2-40B4-BE49-F238E27FC236}">
                <a16:creationId xmlns:a16="http://schemas.microsoft.com/office/drawing/2014/main" id="{34B19FB9-9BF1-40F1-9461-8B54FD2EC729}"/>
              </a:ext>
            </a:extLst>
          </xdr:cNvPr>
          <xdr:cNvGraphicFramePr>
            <a:graphicFrameLocks/>
          </xdr:cNvGraphicFramePr>
        </xdr:nvGraphicFramePr>
        <xdr:xfrm>
          <a:off x="5024437" y="5929312"/>
          <a:ext cx="5810250" cy="473868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4" name="Chart 113">
            <a:extLst>
              <a:ext uri="{FF2B5EF4-FFF2-40B4-BE49-F238E27FC236}">
                <a16:creationId xmlns:a16="http://schemas.microsoft.com/office/drawing/2014/main" id="{087CEC33-E708-42BF-8C06-F71A0272DFEA}"/>
              </a:ext>
            </a:extLst>
          </xdr:cNvPr>
          <xdr:cNvGraphicFramePr>
            <a:graphicFrameLocks/>
          </xdr:cNvGraphicFramePr>
        </xdr:nvGraphicFramePr>
        <xdr:xfrm>
          <a:off x="5072062" y="11310939"/>
          <a:ext cx="5929312" cy="488156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5" name="Chart 114">
            <a:extLst>
              <a:ext uri="{FF2B5EF4-FFF2-40B4-BE49-F238E27FC236}">
                <a16:creationId xmlns:a16="http://schemas.microsoft.com/office/drawing/2014/main" id="{D3D90A34-C1A5-45DB-BBC5-F9A3D8B6AC04}"/>
              </a:ext>
            </a:extLst>
          </xdr:cNvPr>
          <xdr:cNvGraphicFramePr>
            <a:graphicFrameLocks/>
          </xdr:cNvGraphicFramePr>
        </xdr:nvGraphicFramePr>
        <xdr:xfrm>
          <a:off x="19252991" y="11382375"/>
          <a:ext cx="12941510" cy="482368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6" name="Chart 115">
            <a:extLst>
              <a:ext uri="{FF2B5EF4-FFF2-40B4-BE49-F238E27FC236}">
                <a16:creationId xmlns:a16="http://schemas.microsoft.com/office/drawing/2014/main" id="{79A6374E-F0E4-4681-9AF2-79868E79D447}"/>
              </a:ext>
            </a:extLst>
          </xdr:cNvPr>
          <xdr:cNvGraphicFramePr>
            <a:graphicFrameLocks/>
          </xdr:cNvGraphicFramePr>
        </xdr:nvGraphicFramePr>
        <xdr:xfrm>
          <a:off x="11763375" y="11477624"/>
          <a:ext cx="5881688" cy="497681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7" name="Chart 116">
            <a:extLst>
              <a:ext uri="{FF2B5EF4-FFF2-40B4-BE49-F238E27FC236}">
                <a16:creationId xmlns:a16="http://schemas.microsoft.com/office/drawing/2014/main" id="{70C2971A-7025-4B46-B336-5E7A453F1EC7}"/>
              </a:ext>
            </a:extLst>
          </xdr:cNvPr>
          <xdr:cNvGraphicFramePr>
            <a:graphicFrameLocks/>
          </xdr:cNvGraphicFramePr>
        </xdr:nvGraphicFramePr>
        <xdr:xfrm>
          <a:off x="11739564" y="6048374"/>
          <a:ext cx="6024562" cy="4929188"/>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19" name="Quantity">
                <a:extLst>
                  <a:ext uri="{FF2B5EF4-FFF2-40B4-BE49-F238E27FC236}">
                    <a16:creationId xmlns:a16="http://schemas.microsoft.com/office/drawing/2014/main" id="{317764E7-2110-4126-8654-62809A00FB1D}"/>
                  </a:ext>
                </a:extLst>
              </xdr:cNvPr>
              <xdr:cNvGraphicFramePr/>
            </xdr:nvGraphicFramePr>
            <xdr:xfrm>
              <a:off x="738187" y="6486526"/>
              <a:ext cx="2976562" cy="1204912"/>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8334375" y="6843713"/>
                <a:ext cx="2976562" cy="1204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Order_Date">
                <a:extLst>
                  <a:ext uri="{FF2B5EF4-FFF2-40B4-BE49-F238E27FC236}">
                    <a16:creationId xmlns:a16="http://schemas.microsoft.com/office/drawing/2014/main" id="{08C31DB5-0EF4-41F8-82EA-6B239776DF96}"/>
                  </a:ext>
                </a:extLst>
              </xdr:cNvPr>
              <xdr:cNvGraphicFramePr/>
            </xdr:nvGraphicFramePr>
            <xdr:xfrm>
              <a:off x="761999" y="7867650"/>
              <a:ext cx="2928938" cy="2466976"/>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8358187" y="8224837"/>
                <a:ext cx="2928938" cy="2466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452435</xdr:colOff>
      <xdr:row>34</xdr:row>
      <xdr:rowOff>139474</xdr:rowOff>
    </xdr:from>
    <xdr:to>
      <xdr:col>12</xdr:col>
      <xdr:colOff>285748</xdr:colOff>
      <xdr:row>88</xdr:row>
      <xdr:rowOff>95250</xdr:rowOff>
    </xdr:to>
    <xdr:grpSp>
      <xdr:nvGrpSpPr>
        <xdr:cNvPr id="9" name="Group 8">
          <a:extLst>
            <a:ext uri="{FF2B5EF4-FFF2-40B4-BE49-F238E27FC236}">
              <a16:creationId xmlns:a16="http://schemas.microsoft.com/office/drawing/2014/main" id="{ECDD5612-11B8-490D-96F0-5F3DAE53A715}"/>
            </a:ext>
          </a:extLst>
        </xdr:cNvPr>
        <xdr:cNvGrpSpPr/>
      </xdr:nvGrpSpPr>
      <xdr:grpSpPr>
        <a:xfrm>
          <a:off x="452435" y="6616474"/>
          <a:ext cx="7262813" cy="10242776"/>
          <a:chOff x="285748" y="5378224"/>
          <a:chExt cx="7262813" cy="9028338"/>
        </a:xfrm>
      </xdr:grpSpPr>
      <xdr:sp macro="" textlink="">
        <xdr:nvSpPr>
          <xdr:cNvPr id="7" name="TextBox 6">
            <a:extLst>
              <a:ext uri="{FF2B5EF4-FFF2-40B4-BE49-F238E27FC236}">
                <a16:creationId xmlns:a16="http://schemas.microsoft.com/office/drawing/2014/main" id="{DD5D6CD7-C206-44BF-BDCC-1B5892CBAC67}"/>
              </a:ext>
            </a:extLst>
          </xdr:cNvPr>
          <xdr:cNvSpPr txBox="1"/>
        </xdr:nvSpPr>
        <xdr:spPr>
          <a:xfrm>
            <a:off x="285748" y="7286624"/>
            <a:ext cx="7262813" cy="2524126"/>
          </a:xfrm>
          <a:prstGeom prst="rect">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3200" b="1" i="0" u="none" strike="noStrike">
                <a:solidFill>
                  <a:srgbClr val="21FAFF"/>
                </a:solidFill>
                <a:latin typeface="Arial Black" panose="020B0A04020102020204" pitchFamily="34" charset="0"/>
                <a:ea typeface="Calibri"/>
                <a:cs typeface="Calibri"/>
              </a:rPr>
              <a:t>High demand for Shoes </a:t>
            </a:r>
          </a:p>
          <a:p>
            <a:pPr marL="0" indent="0" algn="l"/>
            <a:r>
              <a:rPr lang="en-US" sz="3200" b="1" i="0" u="none" strike="noStrike">
                <a:solidFill>
                  <a:srgbClr val="21FAFF"/>
                </a:solidFill>
                <a:latin typeface="Arial Black" panose="020B0A04020102020204" pitchFamily="34" charset="0"/>
                <a:ea typeface="Calibri"/>
                <a:cs typeface="Calibri"/>
              </a:rPr>
              <a:t>Clothing drives highest revenue </a:t>
            </a:r>
          </a:p>
          <a:p>
            <a:pPr marL="0" indent="0" algn="l"/>
            <a:r>
              <a:rPr lang="en-US" sz="3200" b="1" i="0" u="none" strike="noStrike">
                <a:solidFill>
                  <a:srgbClr val="21FAFF"/>
                </a:solidFill>
                <a:latin typeface="Arial Black" panose="020B0A04020102020204" pitchFamily="34" charset="0"/>
                <a:ea typeface="Calibri"/>
                <a:cs typeface="Calibri"/>
              </a:rPr>
              <a:t>Cash on Delivery dominates </a:t>
            </a:r>
          </a:p>
          <a:p>
            <a:pPr marL="0" indent="0" algn="l"/>
            <a:r>
              <a:rPr lang="en-US" sz="3200" b="1" i="0" u="none" strike="noStrike">
                <a:solidFill>
                  <a:srgbClr val="21FAFF"/>
                </a:solidFill>
                <a:latin typeface="Arial Black" panose="020B0A04020102020204" pitchFamily="34" charset="0"/>
                <a:ea typeface="Calibri"/>
                <a:cs typeface="Calibri"/>
              </a:rPr>
              <a:t>High return rate detected </a:t>
            </a:r>
          </a:p>
          <a:p>
            <a:pPr marL="0" indent="0" algn="l"/>
            <a:endParaRPr lang="en-US" sz="3200" b="1" i="0" u="none" strike="noStrike">
              <a:solidFill>
                <a:srgbClr val="21FAFF"/>
              </a:solidFill>
              <a:latin typeface="Arial Black" panose="020B0A04020102020204" pitchFamily="34" charset="0"/>
              <a:ea typeface="Calibri"/>
              <a:cs typeface="Calibri"/>
            </a:endParaRPr>
          </a:p>
        </xdr:txBody>
      </xdr:sp>
      <xdr:sp macro="" textlink="">
        <xdr:nvSpPr>
          <xdr:cNvPr id="57" name="Rectangle 56">
            <a:extLst>
              <a:ext uri="{FF2B5EF4-FFF2-40B4-BE49-F238E27FC236}">
                <a16:creationId xmlns:a16="http://schemas.microsoft.com/office/drawing/2014/main" id="{AAABF426-26B5-4882-9302-173FDDB90F40}"/>
              </a:ext>
            </a:extLst>
          </xdr:cNvPr>
          <xdr:cNvSpPr/>
        </xdr:nvSpPr>
        <xdr:spPr>
          <a:xfrm>
            <a:off x="455839" y="5378224"/>
            <a:ext cx="5878285" cy="1390650"/>
          </a:xfrm>
          <a:prstGeom prst="rect">
            <a:avLst/>
          </a:prstGeom>
          <a:gradFill flip="none" rotWithShape="1">
            <a:gsLst>
              <a:gs pos="29000">
                <a:srgbClr val="023084"/>
              </a:gs>
              <a:gs pos="100000">
                <a:srgbClr val="022462"/>
              </a:gs>
            </a:gsLst>
            <a:path path="shape">
              <a:fillToRect l="50000" t="50000" r="50000" b="50000"/>
            </a:path>
            <a:tileRect/>
          </a:gradFill>
          <a:ln>
            <a:noFill/>
          </a:ln>
          <a:effectLst>
            <a:outerShdw blurRad="431800" dist="190500" dir="1080000" algn="ctr"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rgbClr val="00B0F0"/>
                </a:solidFill>
                <a:latin typeface="Elephant" panose="02020904090505020303" pitchFamily="18" charset="0"/>
              </a:rPr>
              <a:t>INSIGHTS</a:t>
            </a:r>
          </a:p>
        </xdr:txBody>
      </xdr:sp>
      <xdr:sp macro="" textlink="">
        <xdr:nvSpPr>
          <xdr:cNvPr id="62" name="Rectangle 61">
            <a:extLst>
              <a:ext uri="{FF2B5EF4-FFF2-40B4-BE49-F238E27FC236}">
                <a16:creationId xmlns:a16="http://schemas.microsoft.com/office/drawing/2014/main" id="{ED2E2A74-FF3D-41D6-A4C4-FEC9DC0491FA}"/>
              </a:ext>
            </a:extLst>
          </xdr:cNvPr>
          <xdr:cNvSpPr/>
        </xdr:nvSpPr>
        <xdr:spPr>
          <a:xfrm>
            <a:off x="360589" y="10021661"/>
            <a:ext cx="5878285" cy="1390650"/>
          </a:xfrm>
          <a:prstGeom prst="rect">
            <a:avLst/>
          </a:prstGeom>
          <a:gradFill flip="none" rotWithShape="1">
            <a:gsLst>
              <a:gs pos="29000">
                <a:srgbClr val="023084"/>
              </a:gs>
              <a:gs pos="100000">
                <a:srgbClr val="022462"/>
              </a:gs>
            </a:gsLst>
            <a:path path="shape">
              <a:fillToRect l="50000" t="50000" r="50000" b="50000"/>
            </a:path>
            <a:tileRect/>
          </a:gradFill>
          <a:ln>
            <a:noFill/>
          </a:ln>
          <a:effectLst>
            <a:outerShdw blurRad="431800" dist="190500" dir="1080000" algn="ctr" rotWithShape="0">
              <a:schemeClr val="bg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rgbClr val="00B0F0"/>
                </a:solidFill>
                <a:latin typeface="Elephant" panose="02020904090505020303" pitchFamily="18" charset="0"/>
              </a:rPr>
              <a:t>Recommendations</a:t>
            </a:r>
          </a:p>
        </xdr:txBody>
      </xdr:sp>
      <xdr:sp macro="" textlink="">
        <xdr:nvSpPr>
          <xdr:cNvPr id="8" name="TextBox 7">
            <a:extLst>
              <a:ext uri="{FF2B5EF4-FFF2-40B4-BE49-F238E27FC236}">
                <a16:creationId xmlns:a16="http://schemas.microsoft.com/office/drawing/2014/main" id="{7758A1A5-0FB2-4AE2-9167-803A07E26548}"/>
              </a:ext>
            </a:extLst>
          </xdr:cNvPr>
          <xdr:cNvSpPr txBox="1"/>
        </xdr:nvSpPr>
        <xdr:spPr>
          <a:xfrm>
            <a:off x="333375" y="11882437"/>
            <a:ext cx="7048500" cy="2524125"/>
          </a:xfrm>
          <a:prstGeom prst="rect">
            <a:avLst/>
          </a:prstGeom>
          <a:noFill/>
          <a:ln>
            <a:noFill/>
          </a:ln>
          <a:effectLst>
            <a:outerShdw blurRad="431800" dist="190500" dir="1080000" algn="ctr" rotWithShape="0">
              <a:schemeClr val="bg1">
                <a:alpha val="40000"/>
              </a:schemeClr>
            </a:outerShdw>
            <a:reflection stA="0" endPos="65000" dist="50800" dir="5400000" sy="-100000" algn="bl" rotWithShape="0"/>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3200" b="1" i="0" u="none" strike="noStrike">
                <a:solidFill>
                  <a:srgbClr val="21FAFF"/>
                </a:solidFill>
                <a:latin typeface="Arial Black" panose="020B0A04020102020204" pitchFamily="34" charset="0"/>
                <a:ea typeface="Calibri"/>
                <a:cs typeface="Calibri"/>
              </a:rPr>
              <a:t>Focus on best-selling products </a:t>
            </a:r>
          </a:p>
          <a:p>
            <a:pPr marL="0" indent="0" algn="l"/>
            <a:r>
              <a:rPr lang="en-US" sz="3200" b="1" i="0" u="none" strike="noStrike">
                <a:solidFill>
                  <a:srgbClr val="21FAFF"/>
                </a:solidFill>
                <a:latin typeface="Arial Black" panose="020B0A04020102020204" pitchFamily="34" charset="0"/>
                <a:ea typeface="Calibri"/>
                <a:cs typeface="Calibri"/>
              </a:rPr>
              <a:t>Promote digital payments </a:t>
            </a:r>
          </a:p>
          <a:p>
            <a:pPr marL="0" indent="0" algn="l"/>
            <a:r>
              <a:rPr lang="en-US" sz="3200" b="1" i="0" u="none" strike="noStrike">
                <a:solidFill>
                  <a:srgbClr val="21FAFF"/>
                </a:solidFill>
                <a:latin typeface="Arial Black" panose="020B0A04020102020204" pitchFamily="34" charset="0"/>
                <a:ea typeface="Calibri"/>
                <a:cs typeface="Calibri"/>
              </a:rPr>
              <a:t>Reduce return rate </a:t>
            </a:r>
          </a:p>
          <a:p>
            <a:pPr marL="0" indent="0" algn="l"/>
            <a:r>
              <a:rPr lang="en-US" sz="3200" b="1" i="0" u="none" strike="noStrike">
                <a:solidFill>
                  <a:srgbClr val="21FAFF"/>
                </a:solidFill>
                <a:latin typeface="Arial Black" panose="020B0A04020102020204" pitchFamily="34" charset="0"/>
                <a:ea typeface="Calibri"/>
                <a:cs typeface="Calibri"/>
              </a:rPr>
              <a:t>Improve delivery efficiency </a:t>
            </a:r>
          </a:p>
          <a:p>
            <a:pPr marL="0" indent="0" algn="l"/>
            <a:endParaRPr lang="en-US" sz="3200" b="1" i="0" u="none" strike="noStrike">
              <a:solidFill>
                <a:srgbClr val="21FAFF"/>
              </a:solidFill>
              <a:latin typeface="Arial Black" panose="020B0A04020102020204" pitchFamily="34" charset="0"/>
              <a:ea typeface="Calibri"/>
              <a:cs typeface="Calibri"/>
            </a:endParaRPr>
          </a:p>
        </xdr:txBody>
      </xdr:sp>
    </xdr:grpSp>
    <xdr:clientData/>
  </xdr:twoCellAnchor>
  <xdr:twoCellAnchor editAs="oneCell">
    <xdr:from>
      <xdr:col>13</xdr:col>
      <xdr:colOff>261936</xdr:colOff>
      <xdr:row>71</xdr:row>
      <xdr:rowOff>128589</xdr:rowOff>
    </xdr:from>
    <xdr:to>
      <xdr:col>18</xdr:col>
      <xdr:colOff>190498</xdr:colOff>
      <xdr:row>84</xdr:row>
      <xdr:rowOff>119064</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741297D1-FB2D-46CD-8DA2-FCCA21C013E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310561" y="13654089"/>
              <a:ext cx="3024187"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261937</xdr:colOff>
      <xdr:row>56</xdr:row>
      <xdr:rowOff>142875</xdr:rowOff>
    </xdr:from>
    <xdr:to>
      <xdr:col>18</xdr:col>
      <xdr:colOff>166687</xdr:colOff>
      <xdr:row>70</xdr:row>
      <xdr:rowOff>71437</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09F6C58D-D431-43F5-BA6F-8028499F1AC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310562" y="10810875"/>
              <a:ext cx="3000375" cy="2595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442912</xdr:colOff>
      <xdr:row>9</xdr:row>
      <xdr:rowOff>185737</xdr:rowOff>
    </xdr:from>
    <xdr:to>
      <xdr:col>8</xdr:col>
      <xdr:colOff>109537</xdr:colOff>
      <xdr:row>24</xdr:row>
      <xdr:rowOff>71437</xdr:rowOff>
    </xdr:to>
    <xdr:graphicFrame macro="">
      <xdr:nvGraphicFramePr>
        <xdr:cNvPr id="2" name="Chart 1">
          <a:extLst>
            <a:ext uri="{FF2B5EF4-FFF2-40B4-BE49-F238E27FC236}">
              <a16:creationId xmlns:a16="http://schemas.microsoft.com/office/drawing/2014/main" id="{4BEB4B5C-0D9B-4B83-8052-D6EEFE668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23812</xdr:colOff>
      <xdr:row>11</xdr:row>
      <xdr:rowOff>147637</xdr:rowOff>
    </xdr:from>
    <xdr:to>
      <xdr:col>15</xdr:col>
      <xdr:colOff>328612</xdr:colOff>
      <xdr:row>26</xdr:row>
      <xdr:rowOff>33337</xdr:rowOff>
    </xdr:to>
    <xdr:graphicFrame macro="">
      <xdr:nvGraphicFramePr>
        <xdr:cNvPr id="2" name="Chart 1">
          <a:extLst>
            <a:ext uri="{FF2B5EF4-FFF2-40B4-BE49-F238E27FC236}">
              <a16:creationId xmlns:a16="http://schemas.microsoft.com/office/drawing/2014/main" id="{D744EE39-8403-4C4F-A279-2D48C8034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F-L4-D25" refreshedDate="46186.718120254627" createdVersion="6" refreshedVersion="6" minRefreshableVersion="3" recordCount="86" xr:uid="{D172C44A-A1F1-4C0D-9182-9D4485771608}">
  <cacheSource type="worksheet">
    <worksheetSource ref="B1:P84" sheet="E-Commerce sales"/>
  </cacheSource>
  <cacheFields count="17">
    <cacheField name=" Customer_Name" numFmtId="0">
      <sharedItems/>
    </cacheField>
    <cacheField name="Order_ID" numFmtId="0">
      <sharedItems count="92">
        <s v="ORD-20182"/>
        <s v="ORD-64136"/>
        <s v="ORD-56651"/>
        <s v="ORD-41285"/>
        <s v="ORD-79139"/>
        <s v="ORD-76902"/>
        <s v="ORD-54481"/>
        <s v="ORD-40186"/>
        <s v="ORD-53430"/>
        <s v="ORD-91254"/>
        <s v="ORD-27743"/>
        <s v="ORD-90569"/>
        <s v="ORD-22442"/>
        <s v="ORD-84355"/>
        <s v="ORD-67799"/>
        <s v="ORD-23994"/>
        <s v="ORD-98162"/>
        <s v="ORD-34319"/>
        <s v="ORD-93614"/>
        <s v="ORD-75539"/>
        <s v="ORD-64400"/>
        <s v="ORD-56552"/>
        <s v="ORD-38423"/>
        <s v="ORD-20985"/>
        <s v="ORD-72869"/>
        <s v="ORD-24378"/>
        <s v="ORD-16766"/>
        <s v="ORD-30627"/>
        <s v="ORD-77417"/>
        <s v="ORD-86629"/>
        <s v="ORD-27653"/>
        <s v="ORD-18512"/>
        <s v="ORD-55695"/>
        <s v="ORD-38469"/>
        <s v="ORD-35817"/>
        <s v="ORD-14608"/>
        <s v="ORD-57123"/>
        <s v="ORD-34407"/>
        <s v="ORD-21443"/>
        <s v="ORD-72778"/>
        <s v="ORD-29721"/>
        <s v="ORD-97756"/>
        <s v="ORD-57811"/>
        <s v="ORD-96037"/>
        <s v="ORD-96061"/>
        <s v="ORD-38418"/>
        <s v="ORD-32755"/>
        <s v="ORD-89906"/>
        <s v="ORD-14659"/>
        <s v="ORD-45059"/>
        <s v="ORD-65482"/>
        <s v="ORD-68182"/>
        <s v="ORD-75314"/>
        <s v="ORD-72349"/>
        <s v="ORD-76016"/>
        <s v="ORD-42171"/>
        <s v="ORD-41810"/>
        <s v="ORD-33656"/>
        <s v="ORD-11314"/>
        <s v="ORD-82922"/>
        <s v="ORD-48008"/>
        <s v="ORD-61020"/>
        <s v="ORD-99790"/>
        <s v="ORD-80067"/>
        <s v="ORD-79672"/>
        <s v="ORD-69018"/>
        <s v="ORD-67096"/>
        <s v="ORD-80707"/>
        <s v="ORD-58590"/>
        <s v="ORD-99328"/>
        <s v="ORD-41292"/>
        <s v="ORD-95794"/>
        <s v="ORD-12270"/>
        <s v="ORD-89122"/>
        <s v="ORD-48863"/>
        <s v="ORD-16585"/>
        <s v="ORD-80867"/>
        <s v="ORD-23202"/>
        <s v="ORD-91396"/>
        <s v="ORD-11261"/>
        <s v="ORD-21530"/>
        <s v="ORD-95990"/>
        <s v="ORD-82876"/>
        <s v="ORD-69764" u="1"/>
        <s v="ORD-30329" u="1"/>
        <s v="ORD-23010" u="1"/>
        <s v="ORD-42475" u="1"/>
        <s v="ORD-89452" u="1"/>
        <s v="ORD-95911" u="1"/>
        <s v="ORD-14329" u="1"/>
        <s v="ORD-72751" u="1"/>
        <s v="ORD-25885" u="1"/>
      </sharedItems>
    </cacheField>
    <cacheField name="Order_Date" numFmtId="14">
      <sharedItems containsSemiMixedTypes="0" containsNonDate="0" containsDate="1" containsString="0" minDate="2023-01-05T00:00:00" maxDate="2025-11-07T00:00:00" count="73">
        <d v="2025-05-01T00:00:00"/>
        <d v="2025-07-28T00:00:00"/>
        <d v="2025-02-24T00:00:00"/>
        <d v="2024-11-22T00:00:00"/>
        <d v="2025-06-23T00:00:00"/>
        <d v="2024-11-27T00:00:00"/>
        <d v="2024-12-29T00:00:00"/>
        <d v="2025-04-02T00:00:00"/>
        <d v="2025-11-04T00:00:00"/>
        <d v="2025-02-23T00:00:00"/>
        <d v="2025-05-19T00:00:00"/>
        <d v="2025-10-06T00:00:00"/>
        <d v="2024-11-20T00:00:00"/>
        <d v="2024-12-23T00:00:00"/>
        <d v="2025-02-15T00:00:00"/>
        <d v="2025-07-24T00:00:00"/>
        <d v="2025-08-09T00:00:00"/>
        <d v="2025-10-20T00:00:00"/>
        <d v="2025-08-12T00:00:00"/>
        <d v="2025-10-23T00:00:00"/>
        <d v="2025-07-01T00:00:00"/>
        <d v="2025-03-13T00:00:00"/>
        <d v="2025-06-12T00:00:00"/>
        <d v="2025-09-22T00:00:00"/>
        <d v="2023-01-05T00:00:00"/>
        <d v="2025-09-20T00:00:00"/>
        <d v="2025-08-14T00:00:00"/>
        <d v="2025-03-26T00:00:00"/>
        <d v="2024-12-15T00:00:00"/>
        <d v="2025-05-03T00:00:00"/>
        <d v="2024-11-08T00:00:00"/>
        <d v="2025-06-29T00:00:00"/>
        <d v="2025-04-05T00:00:00"/>
        <d v="2025-07-27T00:00:00"/>
        <d v="2025-11-06T00:00:00"/>
        <d v="2025-05-16T00:00:00"/>
        <d v="2025-01-10T00:00:00"/>
        <d v="2025-07-16T00:00:00"/>
        <d v="2025-07-03T00:00:00"/>
        <d v="2025-03-19T00:00:00"/>
        <d v="2025-01-03T00:00:00"/>
        <d v="2025-05-31T00:00:00"/>
        <d v="2025-02-09T00:00:00"/>
        <d v="2025-07-09T00:00:00"/>
        <d v="2025-09-18T00:00:00"/>
        <d v="2025-06-13T00:00:00"/>
        <d v="2025-02-13T00:00:00"/>
        <d v="2025-05-12T00:00:00"/>
        <d v="2024-12-05T00:00:00"/>
        <d v="2023-05-01T00:00:00"/>
        <d v="2025-10-22T00:00:00"/>
        <d v="2024-12-19T00:00:00"/>
        <d v="2025-10-11T00:00:00"/>
        <d v="2025-07-18T00:00:00"/>
        <d v="2025-01-22T00:00:00"/>
        <d v="2024-11-18T00:00:00"/>
        <d v="2025-09-26T00:00:00"/>
        <d v="2024-12-06T00:00:00"/>
        <d v="2025-08-03T00:00:00"/>
        <d v="2025-10-30T00:00:00"/>
        <d v="2025-02-26T00:00:00"/>
        <d v="2024-11-19T00:00:00"/>
        <d v="2025-09-03T00:00:00"/>
        <d v="2025-07-22T00:00:00"/>
        <d v="2024-11-10T00:00:00"/>
        <d v="2025-06-22T00:00:00"/>
        <d v="2025-10-04T00:00:00"/>
        <d v="2025-03-02T00:00:00"/>
        <d v="2025-06-11T00:00:00"/>
        <d v="2025-05-18T00:00:00"/>
        <d v="2025-10-03T00:00:00"/>
        <d v="2025-02-21T00:00:00"/>
        <d v="2025-06-19T00:00:00"/>
      </sharedItems>
      <fieldGroup par="16" base="2">
        <rangePr groupBy="months" startDate="2023-01-05T00:00:00" endDate="2025-11-07T00:00:00"/>
        <groupItems count="14">
          <s v="&lt;1/5/2023"/>
          <s v="Jan"/>
          <s v="Feb"/>
          <s v="Mar"/>
          <s v="Apr"/>
          <s v="May"/>
          <s v="Jun"/>
          <s v="Jul"/>
          <s v="Aug"/>
          <s v="Sep"/>
          <s v="Oct"/>
          <s v="Nov"/>
          <s v="Dec"/>
          <s v="&gt;11/7/2025"/>
        </groupItems>
      </fieldGroup>
    </cacheField>
    <cacheField name="Product" numFmtId="0">
      <sharedItems/>
    </cacheField>
    <cacheField name=" Category" numFmtId="0">
      <sharedItems count="5">
        <s v="Clothings"/>
        <s v="Electronics"/>
        <s v="Home"/>
        <s v="Sports"/>
        <s v="Books"/>
      </sharedItems>
    </cacheField>
    <cacheField name="Quantity" numFmtId="0">
      <sharedItems containsSemiMixedTypes="0" containsString="0" containsNumber="1" containsInteger="1" minValue="1" maxValue="5"/>
    </cacheField>
    <cacheField name="Quality Check" numFmtId="0">
      <sharedItems/>
    </cacheField>
    <cacheField name="Quantity_Check2" numFmtId="0">
      <sharedItems/>
    </cacheField>
    <cacheField name="Price" numFmtId="1">
      <sharedItems containsSemiMixedTypes="0" containsString="0" containsNumber="1" minValue="111.36" maxValue="942.76"/>
    </cacheField>
    <cacheField name="Price Check 1" numFmtId="1">
      <sharedItems/>
    </cacheField>
    <cacheField name="Price Check 2" numFmtId="0">
      <sharedItems/>
    </cacheField>
    <cacheField name="Payment_Method" numFmtId="0">
      <sharedItems/>
    </cacheField>
    <cacheField name="Status" numFmtId="0">
      <sharedItems count="5">
        <s v="Returned"/>
        <s v="Processing"/>
        <s v="Shipped"/>
        <s v="Cancelled"/>
        <s v="Delivered"/>
      </sharedItems>
    </cacheField>
    <cacheField name="Total " numFmtId="0">
      <sharedItems containsSemiMixedTypes="0" containsString="0" containsNumber="1" minValue="0" maxValue="4085"/>
    </cacheField>
    <cacheField name="Total_Check" numFmtId="0">
      <sharedItems/>
    </cacheField>
    <cacheField name="Quarters" numFmtId="0" databaseField="0">
      <fieldGroup base="2">
        <rangePr groupBy="quarters" startDate="2023-01-05T00:00:00" endDate="2025-11-07T00:00:00"/>
        <groupItems count="6">
          <s v="&lt;1/5/2023"/>
          <s v="Qtr1"/>
          <s v="Qtr2"/>
          <s v="Qtr3"/>
          <s v="Qtr4"/>
          <s v="&gt;11/7/2025"/>
        </groupItems>
      </fieldGroup>
    </cacheField>
    <cacheField name="Years" numFmtId="0" databaseField="0">
      <fieldGroup base="2">
        <rangePr groupBy="years" startDate="2023-01-05T00:00:00" endDate="2025-11-07T00:00:00"/>
        <groupItems count="5">
          <s v="&lt;1/5/2023"/>
          <s v="2023"/>
          <s v="2024"/>
          <s v="2025"/>
          <s v="&gt;11/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F-L4-D25" refreshedDate="46186.718120370373" createdVersion="6" refreshedVersion="6" minRefreshableVersion="3" recordCount="91" xr:uid="{2CF0B33E-300E-40BF-AD8C-25AFE05BF614}">
  <cacheSource type="worksheet">
    <worksheetSource name="Table1"/>
  </cacheSource>
  <cacheFields count="18">
    <cacheField name="ID" numFmtId="0">
      <sharedItems containsSemiMixedTypes="0" containsString="0" containsNumber="1" containsInteger="1" minValue="100" maxValue="199"/>
    </cacheField>
    <cacheField name=" Customer_Name" numFmtId="0">
      <sharedItems count="88">
        <s v="Customer_155"/>
        <s v="Customer_177"/>
        <s v="Customer_175"/>
        <s v="Customer_100"/>
        <s v="Customer_197"/>
        <s v="Customer_150"/>
        <s v="Customer_181"/>
        <s v="Customer_132"/>
        <s v="Customer_168"/>
        <s v="Customer_137"/>
        <s v="Customer_162"/>
        <s v="Customer_186"/>
        <s v="Customer_105"/>
        <s v="Customer_102"/>
        <s v="Customer_184"/>
        <s v="Customer_113"/>
        <s v="Customer_159"/>
        <s v="Customer_138"/>
        <s v="Customer_104"/>
        <s v="Customer_169"/>
        <s v="Customer_108"/>
        <s v="Customer_151"/>
        <s v="Customer_148"/>
        <s v="Customer_136"/>
        <s v="Customer_152"/>
        <s v="Customer_163"/>
        <s v="Customer_174"/>
        <s v="Customer_189"/>
        <s v="Customer_114"/>
        <s v="Customer_180"/>
        <s v="Customer_161"/>
        <s v="Customer_109"/>
        <s v="Customer_165"/>
        <s v="Customer_190"/>
        <s v="Customer_158"/>
        <s v="Customer_198"/>
        <s v="Customer_185"/>
        <s v="Customer_157"/>
        <s v="Customer_122"/>
        <s v="Customer_115"/>
        <s v="Customer_153"/>
        <s v="Customer_166"/>
        <s v="Customer_103"/>
        <s v="Customer_160"/>
        <s v="Customer_118"/>
        <s v="Customer_139"/>
        <s v="Customer_146"/>
        <s v="Customer_178"/>
        <s v="Customer_120"/>
        <s v="Customer_141"/>
        <s v="Customer_127"/>
        <s v="Customer_133"/>
        <s v="Customer_145"/>
        <s v="Customer_111"/>
        <s v="Customer_119"/>
        <s v="Customer_173"/>
        <s v="Customer_191"/>
        <s v="Customer_135"/>
        <s v="Customer_123"/>
        <s v="Customer_199"/>
        <s v="Customer_172"/>
        <s v="Customer_110"/>
        <s v="Customer_171"/>
        <s v="Customer_121"/>
        <s v="Customer_182"/>
        <s v="Customer_142"/>
        <s v="Customer_140"/>
        <s v="Customer_147"/>
        <s v="Customer_188"/>
        <s v="Customer_179"/>
        <s v="Customer_187"/>
        <s v="Customer_176"/>
        <s v="Customer_128"/>
        <s v="Customer_107"/>
        <s v="Customer_129"/>
        <s v="Customer_134"/>
        <s v="Customer_112"/>
        <s v="Customer_125"/>
        <s v="Customer_131"/>
        <s v="Customer_126"/>
        <s v="Customer_170"/>
        <s v="Customer_154"/>
        <s v="Customer_195"/>
        <s v="Customer_143"/>
        <s v="Customer_144"/>
        <s v="Customer_149"/>
        <s v="Customer_194"/>
        <s v="Customer_117"/>
      </sharedItems>
    </cacheField>
    <cacheField name="Order_ID" numFmtId="0">
      <sharedItems count="92">
        <s v="ORD-20182"/>
        <s v="ORD-64136"/>
        <s v="ORD-56651"/>
        <s v="ORD-41285"/>
        <s v="ORD-79139"/>
        <s v="ORD-76902"/>
        <s v="ORD-54481"/>
        <s v="ORD-40186"/>
        <s v="ORD-53430"/>
        <s v="ORD-91254"/>
        <s v="ORD-27743"/>
        <s v="ORD-90569"/>
        <s v="ORD-22442"/>
        <s v="ORD-84355"/>
        <s v="ORD-67799"/>
        <s v="ORD-23994"/>
        <s v="ORD-98162"/>
        <s v="ORD-34319"/>
        <s v="ORD-93614"/>
        <s v="ORD-75539"/>
        <s v="ORD-64400"/>
        <s v="ORD-56552"/>
        <s v="ORD-38423"/>
        <s v="ORD-20985"/>
        <s v="ORD-72869"/>
        <s v="ORD-24378"/>
        <s v="ORD-16766"/>
        <s v="ORD-30627"/>
        <s v="ORD-77417"/>
        <s v="ORD-86629"/>
        <s v="ORD-27653"/>
        <s v="ORD-18512"/>
        <s v="ORD-55695"/>
        <s v="ORD-38469"/>
        <s v="ORD-35817"/>
        <s v="ORD-14608"/>
        <s v="ORD-57123"/>
        <s v="ORD-34407"/>
        <s v="ORD-21443"/>
        <s v="ORD-72778"/>
        <s v="ORD-29721"/>
        <s v="ORD-97756"/>
        <s v="ORD-57811"/>
        <s v="ORD-96037"/>
        <s v="ORD-96061"/>
        <s v="ORD-38418"/>
        <s v="ORD-32755"/>
        <s v="ORD-89906"/>
        <s v="ORD-14659"/>
        <s v="ORD-45059"/>
        <s v="ORD-65482"/>
        <s v="ORD-68182"/>
        <s v="ORD-75314"/>
        <s v="ORD-72349"/>
        <s v="ORD-76016"/>
        <s v="ORD-42171"/>
        <s v="ORD-41810"/>
        <s v="ORD-33656"/>
        <s v="ORD-11314"/>
        <s v="ORD-82922"/>
        <s v="ORD-48008"/>
        <s v="ORD-61020"/>
        <s v="ORD-99790"/>
        <s v="ORD-80067"/>
        <s v="ORD-79672"/>
        <s v="ORD-69018"/>
        <s v="ORD-67096"/>
        <s v="ORD-80707"/>
        <s v="ORD-58590"/>
        <s v="ORD-99328"/>
        <s v="ORD-41292"/>
        <s v="ORD-95794"/>
        <s v="ORD-12270"/>
        <s v="ORD-89122"/>
        <s v="ORD-48863"/>
        <s v="ORD-16585"/>
        <s v="ORD-80867"/>
        <s v="ORD-23202"/>
        <s v="ORD-91396"/>
        <s v="ORD-11261"/>
        <s v="ORD-21530"/>
        <s v="ORD-95990"/>
        <s v="ORD-82876"/>
        <s v="ORD-14329"/>
        <s v="ORD-89452"/>
        <s v="ORD-95911"/>
        <s v="ORD-69764"/>
        <s v="ORD-72751"/>
        <s v="ORD-30329" u="1"/>
        <s v="ORD-23010" u="1"/>
        <s v="ORD-42475" u="1"/>
        <s v="ORD-25885" u="1"/>
      </sharedItems>
    </cacheField>
    <cacheField name="Order_Date" numFmtId="14">
      <sharedItems containsSemiMixedTypes="0" containsNonDate="0" containsDate="1" containsString="0" minDate="2023-01-05T00:00:00" maxDate="2025-11-07T00:00:00" count="77">
        <d v="2025-05-01T00:00:00"/>
        <d v="2025-07-28T00:00:00"/>
        <d v="2025-02-24T00:00:00"/>
        <d v="2024-11-22T00:00:00"/>
        <d v="2025-06-23T00:00:00"/>
        <d v="2024-11-27T00:00:00"/>
        <d v="2024-12-29T00:00:00"/>
        <d v="2025-04-02T00:00:00"/>
        <d v="2025-11-04T00:00:00"/>
        <d v="2025-02-23T00:00:00"/>
        <d v="2025-05-19T00:00:00"/>
        <d v="2025-10-06T00:00:00"/>
        <d v="2024-11-20T00:00:00"/>
        <d v="2024-12-23T00:00:00"/>
        <d v="2025-02-15T00:00:00"/>
        <d v="2025-07-24T00:00:00"/>
        <d v="2025-08-09T00:00:00"/>
        <d v="2025-10-20T00:00:00"/>
        <d v="2025-08-12T00:00:00"/>
        <d v="2025-10-23T00:00:00"/>
        <d v="2025-07-01T00:00:00"/>
        <d v="2025-03-13T00:00:00"/>
        <d v="2025-06-12T00:00:00"/>
        <d v="2025-09-22T00:00:00"/>
        <d v="2023-01-05T00:00:00"/>
        <d v="2025-09-20T00:00:00"/>
        <d v="2025-08-14T00:00:00"/>
        <d v="2025-03-26T00:00:00"/>
        <d v="2024-12-15T00:00:00"/>
        <d v="2025-05-03T00:00:00"/>
        <d v="2024-11-08T00:00:00"/>
        <d v="2025-06-29T00:00:00"/>
        <d v="2025-04-05T00:00:00"/>
        <d v="2025-07-27T00:00:00"/>
        <d v="2025-11-06T00:00:00"/>
        <d v="2025-05-16T00:00:00"/>
        <d v="2025-01-10T00:00:00"/>
        <d v="2025-07-16T00:00:00"/>
        <d v="2025-07-03T00:00:00"/>
        <d v="2025-03-19T00:00:00"/>
        <d v="2025-01-03T00:00:00"/>
        <d v="2025-05-31T00:00:00"/>
        <d v="2025-02-09T00:00:00"/>
        <d v="2025-07-09T00:00:00"/>
        <d v="2025-09-18T00:00:00"/>
        <d v="2025-06-13T00:00:00"/>
        <d v="2025-02-13T00:00:00"/>
        <d v="2025-05-12T00:00:00"/>
        <d v="2024-12-05T00:00:00"/>
        <d v="2023-05-01T00:00:00"/>
        <d v="2025-10-22T00:00:00"/>
        <d v="2024-12-19T00:00:00"/>
        <d v="2025-10-11T00:00:00"/>
        <d v="2025-07-18T00:00:00"/>
        <d v="2025-01-22T00:00:00"/>
        <d v="2024-11-18T00:00:00"/>
        <d v="2025-09-26T00:00:00"/>
        <d v="2024-12-06T00:00:00"/>
        <d v="2025-08-03T00:00:00"/>
        <d v="2025-10-30T00:00:00"/>
        <d v="2025-02-26T00:00:00"/>
        <d v="2024-11-19T00:00:00"/>
        <d v="2025-09-03T00:00:00"/>
        <d v="2025-07-22T00:00:00"/>
        <d v="2024-11-10T00:00:00"/>
        <d v="2025-06-22T00:00:00"/>
        <d v="2025-10-04T00:00:00"/>
        <d v="2025-03-02T00:00:00"/>
        <d v="2025-06-11T00:00:00"/>
        <d v="2025-05-18T00:00:00"/>
        <d v="2025-10-03T00:00:00"/>
        <d v="2025-02-21T00:00:00"/>
        <d v="2025-06-19T00:00:00"/>
        <d v="2025-07-11T00:00:00"/>
        <d v="2025-01-27T00:00:00"/>
        <d v="2025-02-10T00:00:00"/>
        <d v="2025-02-12T00:00:00"/>
      </sharedItems>
      <fieldGroup par="17" base="3">
        <rangePr groupBy="months" startDate="2023-01-05T00:00:00" endDate="2025-11-07T00:00:00"/>
        <groupItems count="14">
          <s v="&lt;1/5/2023"/>
          <s v="Jan"/>
          <s v="Feb"/>
          <s v="Mar"/>
          <s v="Apr"/>
          <s v="May"/>
          <s v="Jun"/>
          <s v="Jul"/>
          <s v="Aug"/>
          <s v="Sep"/>
          <s v="Oct"/>
          <s v="Nov"/>
          <s v="Dec"/>
          <s v="&gt;11/7/2025"/>
        </groupItems>
      </fieldGroup>
    </cacheField>
    <cacheField name="Product" numFmtId="0">
      <sharedItems count="20">
        <s v="shoes"/>
        <s v="Laptop"/>
        <s v="Headphones"/>
        <s v="Blender"/>
        <s v="Yoga Mat"/>
        <s v="Smartphone"/>
        <s v="Biography"/>
        <s v="Vacuum"/>
        <s v="Tennis Racket"/>
        <s v="Jeans"/>
        <s v="Fiction"/>
        <s v="Microwave"/>
        <s v="Lamp"/>
        <s v="Basketball"/>
        <s v="Science"/>
        <s v="Comics"/>
        <s v="Smartwatch"/>
        <s v="Football"/>
        <s v="Jacket"/>
        <s v="T-shirt"/>
      </sharedItems>
    </cacheField>
    <cacheField name=" Category" numFmtId="0">
      <sharedItems count="5">
        <s v="Clothings"/>
        <s v="Electronics"/>
        <s v="Home"/>
        <s v="Sports"/>
        <s v="Books"/>
      </sharedItems>
    </cacheField>
    <cacheField name="Quantity" numFmtId="0">
      <sharedItems containsSemiMixedTypes="0" containsString="0" containsNumber="1" containsInteger="1" minValue="0" maxValue="5" count="6">
        <n v="1"/>
        <n v="3"/>
        <n v="2"/>
        <n v="4"/>
        <n v="5"/>
        <n v="0" u="1"/>
      </sharedItems>
    </cacheField>
    <cacheField name="Quality Check" numFmtId="0">
      <sharedItems/>
    </cacheField>
    <cacheField name="Quantity_Check2" numFmtId="0">
      <sharedItems/>
    </cacheField>
    <cacheField name="Price" numFmtId="1">
      <sharedItems containsSemiMixedTypes="0" containsString="0" containsNumber="1" minValue="111.36" maxValue="944.54"/>
    </cacheField>
    <cacheField name="Price Check 1" numFmtId="1">
      <sharedItems/>
    </cacheField>
    <cacheField name="Price Check 2" numFmtId="0">
      <sharedItems/>
    </cacheField>
    <cacheField name="Payment_Method" numFmtId="0">
      <sharedItems count="4">
        <s v="PayPal"/>
        <s v="Bank Transfer"/>
        <s v="Credit Card"/>
        <s v="Cash on Delivery"/>
      </sharedItems>
    </cacheField>
    <cacheField name="Status" numFmtId="0">
      <sharedItems count="5">
        <s v="Returned"/>
        <s v="Processing"/>
        <s v="Shipped"/>
        <s v="Cancelled"/>
        <s v="Delivered"/>
      </sharedItems>
    </cacheField>
    <cacheField name="Total " numFmtId="0">
      <sharedItems containsSemiMixedTypes="0" containsString="0" containsNumber="1" minValue="0" maxValue="4245.3500000000004"/>
    </cacheField>
    <cacheField name="Total_Check" numFmtId="0">
      <sharedItems/>
    </cacheField>
    <cacheField name="Quarters" numFmtId="0" databaseField="0">
      <fieldGroup base="3">
        <rangePr groupBy="quarters" startDate="2023-01-05T00:00:00" endDate="2025-11-07T00:00:00"/>
        <groupItems count="6">
          <s v="&lt;1/5/2023"/>
          <s v="Qtr1"/>
          <s v="Qtr2"/>
          <s v="Qtr3"/>
          <s v="Qtr4"/>
          <s v="&gt;11/7/2025"/>
        </groupItems>
      </fieldGroup>
    </cacheField>
    <cacheField name="Years" numFmtId="0" databaseField="0">
      <fieldGroup base="3">
        <rangePr groupBy="years" startDate="2023-01-05T00:00:00" endDate="2025-11-07T00:00:00"/>
        <groupItems count="5">
          <s v="&lt;1/5/2023"/>
          <s v="2023"/>
          <s v="2024"/>
          <s v="2025"/>
          <s v="&gt;11/7/2025"/>
        </groupItems>
      </fieldGroup>
    </cacheField>
  </cacheFields>
  <extLst>
    <ext xmlns:x14="http://schemas.microsoft.com/office/spreadsheetml/2009/9/main" uri="{725AE2AE-9491-48be-B2B4-4EB974FC3084}">
      <x14:pivotCacheDefinition pivotCacheId="1524299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s v="Customer_155"/>
    <x v="0"/>
    <x v="0"/>
    <s v="shoes"/>
    <x v="0"/>
    <n v="1"/>
    <s v="OK"/>
    <b v="1"/>
    <n v="523"/>
    <s v="OK"/>
    <b v="1"/>
    <s v="PayPal"/>
    <x v="0"/>
    <n v="0"/>
    <s v="OK"/>
  </r>
  <r>
    <s v="Customer_177"/>
    <x v="1"/>
    <x v="1"/>
    <s v="Laptop"/>
    <x v="1"/>
    <n v="1"/>
    <s v="OK"/>
    <b v="1"/>
    <n v="578.53"/>
    <s v="OK"/>
    <b v="1"/>
    <s v="Bank Transfer"/>
    <x v="0"/>
    <n v="0"/>
    <s v="OK"/>
  </r>
  <r>
    <s v="Customer_175"/>
    <x v="2"/>
    <x v="2"/>
    <s v="Headphones"/>
    <x v="1"/>
    <n v="1"/>
    <s v="OK"/>
    <b v="1"/>
    <n v="111.36"/>
    <s v="OK"/>
    <b v="1"/>
    <s v="Credit Card"/>
    <x v="1"/>
    <n v="111.36"/>
    <s v="OK"/>
  </r>
  <r>
    <s v="Customer_175"/>
    <x v="2"/>
    <x v="2"/>
    <s v="Headphones"/>
    <x v="1"/>
    <n v="1"/>
    <s v="OK"/>
    <b v="1"/>
    <n v="111.36"/>
    <s v="OK"/>
    <b v="1"/>
    <s v="Credit Card"/>
    <x v="1"/>
    <n v="111.36"/>
    <s v="OK"/>
  </r>
  <r>
    <s v="Customer_100"/>
    <x v="3"/>
    <x v="3"/>
    <s v="Blender"/>
    <x v="2"/>
    <n v="3"/>
    <s v="OK"/>
    <b v="1"/>
    <n v="438"/>
    <s v="OK"/>
    <b v="1"/>
    <s v="Cash on Delivery"/>
    <x v="2"/>
    <n v="1314"/>
    <s v="OK"/>
  </r>
  <r>
    <s v="Customer_197"/>
    <x v="4"/>
    <x v="4"/>
    <s v="Blender"/>
    <x v="2"/>
    <n v="1"/>
    <s v="OK"/>
    <b v="1"/>
    <n v="545"/>
    <s v="OK"/>
    <b v="1"/>
    <s v="PayPal"/>
    <x v="3"/>
    <n v="0"/>
    <s v="OK"/>
  </r>
  <r>
    <s v="Customer_150"/>
    <x v="5"/>
    <x v="5"/>
    <s v="Yoga Mat"/>
    <x v="3"/>
    <n v="1"/>
    <s v="OK"/>
    <b v="1"/>
    <n v="206.19"/>
    <s v="OK"/>
    <b v="1"/>
    <s v="Credit Card"/>
    <x v="0"/>
    <n v="0"/>
    <s v="OK"/>
  </r>
  <r>
    <s v="Customer_181"/>
    <x v="6"/>
    <x v="6"/>
    <s v="Smartphone"/>
    <x v="1"/>
    <n v="1"/>
    <s v="OK"/>
    <b v="1"/>
    <n v="266.48"/>
    <s v="OK"/>
    <b v="1"/>
    <s v="Cash on Delivery"/>
    <x v="3"/>
    <n v="0"/>
    <s v="OK"/>
  </r>
  <r>
    <s v="Customer_132"/>
    <x v="7"/>
    <x v="7"/>
    <s v="Yoga Mat"/>
    <x v="3"/>
    <n v="1"/>
    <s v="OK"/>
    <b v="1"/>
    <n v="266.7"/>
    <s v="OK"/>
    <b v="1"/>
    <s v="PayPal"/>
    <x v="4"/>
    <n v="266.7"/>
    <s v="OK"/>
  </r>
  <r>
    <s v="Customer_168"/>
    <x v="8"/>
    <x v="8"/>
    <s v="Biography"/>
    <x v="4"/>
    <n v="2"/>
    <s v="OK"/>
    <b v="1"/>
    <n v="141.49"/>
    <s v="OK"/>
    <b v="1"/>
    <s v="PayPal"/>
    <x v="3"/>
    <n v="0"/>
    <s v="OK"/>
  </r>
  <r>
    <s v="Customer_137"/>
    <x v="9"/>
    <x v="9"/>
    <s v="Vacuum"/>
    <x v="2"/>
    <n v="3"/>
    <s v="OK"/>
    <b v="1"/>
    <n v="691.19"/>
    <s v="OK"/>
    <b v="1"/>
    <s v="Cash on Delivery"/>
    <x v="4"/>
    <n v="2073.5700000000002"/>
    <s v="OK"/>
  </r>
  <r>
    <s v="Customer_162"/>
    <x v="10"/>
    <x v="10"/>
    <s v="Blender"/>
    <x v="2"/>
    <n v="2"/>
    <s v="OK"/>
    <b v="1"/>
    <n v="553"/>
    <s v="OK"/>
    <b v="1"/>
    <s v="Credit Card"/>
    <x v="0"/>
    <n v="0"/>
    <s v="OK"/>
  </r>
  <r>
    <s v="Customer_186"/>
    <x v="11"/>
    <x v="11"/>
    <s v="Laptop"/>
    <x v="1"/>
    <n v="1"/>
    <s v="OK"/>
    <b v="1"/>
    <n v="365.34"/>
    <s v="OK"/>
    <b v="1"/>
    <s v="Bank Transfer"/>
    <x v="4"/>
    <n v="365.34"/>
    <s v="OK"/>
  </r>
  <r>
    <s v="Customer_105"/>
    <x v="12"/>
    <x v="12"/>
    <s v="Tennis Racket"/>
    <x v="3"/>
    <n v="3"/>
    <s v="OK"/>
    <b v="1"/>
    <n v="552.51"/>
    <s v="OK"/>
    <b v="1"/>
    <s v="Cash on Delivery"/>
    <x v="3"/>
    <n v="0"/>
    <s v="OK"/>
  </r>
  <r>
    <s v="Customer_102"/>
    <x v="13"/>
    <x v="13"/>
    <s v="Tennis Racket"/>
    <x v="3"/>
    <n v="1"/>
    <s v="OK"/>
    <b v="1"/>
    <n v="389.05"/>
    <s v="OK"/>
    <b v="1"/>
    <s v="PayPal"/>
    <x v="4"/>
    <n v="389.05"/>
    <s v="OK"/>
  </r>
  <r>
    <s v="Customer_184"/>
    <x v="14"/>
    <x v="14"/>
    <s v="Jeans"/>
    <x v="0"/>
    <n v="4"/>
    <s v="OK"/>
    <b v="1"/>
    <n v="741.63"/>
    <s v="OK"/>
    <b v="1"/>
    <s v="Bank Transfer"/>
    <x v="1"/>
    <n v="2966.52"/>
    <s v="OK"/>
  </r>
  <r>
    <s v="Customer_113"/>
    <x v="15"/>
    <x v="15"/>
    <s v="Fiction"/>
    <x v="4"/>
    <n v="1"/>
    <s v="OK"/>
    <b v="1"/>
    <n v="411.81"/>
    <s v="OK"/>
    <b v="1"/>
    <s v="Credit Card"/>
    <x v="1"/>
    <n v="411.81"/>
    <s v="OK"/>
  </r>
  <r>
    <s v="Customer_159"/>
    <x v="16"/>
    <x v="1"/>
    <s v="Microwave"/>
    <x v="2"/>
    <n v="3"/>
    <s v="OK"/>
    <b v="1"/>
    <n v="163.16"/>
    <s v="OK"/>
    <b v="1"/>
    <s v="PayPal"/>
    <x v="2"/>
    <n v="489.48"/>
    <s v="OK"/>
  </r>
  <r>
    <s v="Customer_138"/>
    <x v="17"/>
    <x v="16"/>
    <s v="Lamp"/>
    <x v="2"/>
    <n v="1"/>
    <s v="OK"/>
    <b v="1"/>
    <n v="531.05999999999995"/>
    <s v="OK"/>
    <b v="1"/>
    <s v="PayPal"/>
    <x v="1"/>
    <n v="531.05999999999995"/>
    <s v="OK"/>
  </r>
  <r>
    <s v="Customer_104"/>
    <x v="18"/>
    <x v="17"/>
    <s v="Biography"/>
    <x v="4"/>
    <n v="1"/>
    <s v="OK"/>
    <b v="1"/>
    <n v="552.51"/>
    <s v="OK"/>
    <b v="1"/>
    <s v="Cash on Delivery"/>
    <x v="1"/>
    <n v="552.51"/>
    <s v="OK"/>
  </r>
  <r>
    <s v="Customer_169"/>
    <x v="19"/>
    <x v="18"/>
    <s v="Basketball"/>
    <x v="3"/>
    <n v="1"/>
    <s v="OK"/>
    <b v="1"/>
    <n v="582.13"/>
    <s v="OK"/>
    <b v="1"/>
    <s v="Credit Card"/>
    <x v="0"/>
    <n v="0"/>
    <s v="OK"/>
  </r>
  <r>
    <s v="Customer_108"/>
    <x v="20"/>
    <x v="19"/>
    <s v="Science"/>
    <x v="4"/>
    <n v="1"/>
    <s v="OK"/>
    <b v="1"/>
    <n v="600.29"/>
    <s v="OK"/>
    <b v="1"/>
    <s v="Cash on Delivery"/>
    <x v="1"/>
    <n v="600.29"/>
    <s v="OK"/>
  </r>
  <r>
    <s v="Customer_151"/>
    <x v="21"/>
    <x v="20"/>
    <s v="Comics"/>
    <x v="4"/>
    <n v="2"/>
    <s v="OK"/>
    <b v="1"/>
    <n v="457.16"/>
    <s v="OK"/>
    <b v="1"/>
    <s v="PayPal"/>
    <x v="1"/>
    <n v="914.32"/>
    <s v="OK"/>
  </r>
  <r>
    <s v="Customer_148"/>
    <x v="22"/>
    <x v="21"/>
    <s v="Tennis Racket"/>
    <x v="3"/>
    <n v="1"/>
    <s v="OK"/>
    <b v="1"/>
    <n v="660.98"/>
    <s v="OK"/>
    <b v="1"/>
    <s v="Cash on Delivery"/>
    <x v="0"/>
    <n v="0"/>
    <s v="OK"/>
  </r>
  <r>
    <s v="Customer_136"/>
    <x v="23"/>
    <x v="22"/>
    <s v="Headphones"/>
    <x v="1"/>
    <n v="1"/>
    <s v="OK"/>
    <b v="1"/>
    <n v="696.71"/>
    <s v="OK"/>
    <b v="1"/>
    <s v="Credit Card"/>
    <x v="4"/>
    <n v="696.71"/>
    <s v="OK"/>
  </r>
  <r>
    <s v="Customer_152"/>
    <x v="24"/>
    <x v="23"/>
    <s v="Lamp"/>
    <x v="2"/>
    <n v="3"/>
    <s v="OK"/>
    <b v="1"/>
    <n v="233.11"/>
    <s v="OK"/>
    <b v="1"/>
    <s v="PayPal"/>
    <x v="0"/>
    <n v="0"/>
    <s v="OK"/>
  </r>
  <r>
    <s v="Customer_163"/>
    <x v="25"/>
    <x v="24"/>
    <s v="Smartwatch"/>
    <x v="1"/>
    <n v="3"/>
    <s v="OK"/>
    <b v="1"/>
    <n v="235.26"/>
    <s v="OK"/>
    <b v="1"/>
    <s v="Cash on Delivery"/>
    <x v="2"/>
    <n v="705.78"/>
    <s v="OK"/>
  </r>
  <r>
    <s v="Customer_174"/>
    <x v="26"/>
    <x v="25"/>
    <s v="Microwave"/>
    <x v="2"/>
    <n v="4"/>
    <s v="OK"/>
    <b v="1"/>
    <n v="187.48"/>
    <s v="OK"/>
    <b v="1"/>
    <s v="Credit Card"/>
    <x v="0"/>
    <n v="0"/>
    <s v="OK"/>
  </r>
  <r>
    <s v="Customer_189"/>
    <x v="27"/>
    <x v="26"/>
    <s v="Lamp"/>
    <x v="2"/>
    <n v="1"/>
    <s v="OK"/>
    <b v="1"/>
    <n v="814.68"/>
    <s v="OK"/>
    <b v="1"/>
    <s v="Cash on Delivery"/>
    <x v="0"/>
    <n v="0"/>
    <s v="OK"/>
  </r>
  <r>
    <s v="Customer_114"/>
    <x v="28"/>
    <x v="24"/>
    <s v="Smartphone"/>
    <x v="1"/>
    <n v="2"/>
    <s v="OK"/>
    <b v="1"/>
    <n v="413.13"/>
    <s v="OK"/>
    <b v="1"/>
    <s v="Cash on Delivery"/>
    <x v="2"/>
    <n v="826.26"/>
    <s v="OK"/>
  </r>
  <r>
    <s v="Customer_180"/>
    <x v="29"/>
    <x v="27"/>
    <s v="Laptop"/>
    <x v="1"/>
    <n v="2"/>
    <s v="OK"/>
    <b v="1"/>
    <n v="418.38"/>
    <s v="OK"/>
    <b v="1"/>
    <s v="Credit Card"/>
    <x v="1"/>
    <n v="836.76"/>
    <s v="OK"/>
  </r>
  <r>
    <s v="Customer_161"/>
    <x v="30"/>
    <x v="28"/>
    <s v="Science"/>
    <x v="4"/>
    <n v="4"/>
    <s v="OK"/>
    <b v="1"/>
    <n v="209.32"/>
    <s v="OK"/>
    <b v="1"/>
    <s v="Bank Transfer"/>
    <x v="2"/>
    <n v="837.28"/>
    <s v="OK"/>
  </r>
  <r>
    <s v="Customer_109"/>
    <x v="31"/>
    <x v="29"/>
    <s v="Tennis Racket"/>
    <x v="3"/>
    <n v="5"/>
    <s v="OK"/>
    <b v="1"/>
    <n v="168.34"/>
    <s v="OK"/>
    <b v="1"/>
    <s v="Credit Card"/>
    <x v="2"/>
    <n v="841.7"/>
    <s v="OK"/>
  </r>
  <r>
    <s v="Customer_165"/>
    <x v="32"/>
    <x v="30"/>
    <s v="shoes"/>
    <x v="0"/>
    <n v="2"/>
    <s v="OK"/>
    <b v="1"/>
    <n v="645"/>
    <s v="OK"/>
    <b v="1"/>
    <s v="Credit Card"/>
    <x v="4"/>
    <n v="1290"/>
    <s v="OK"/>
  </r>
  <r>
    <s v="Customer_190"/>
    <x v="33"/>
    <x v="31"/>
    <s v="Vacuum"/>
    <x v="2"/>
    <n v="1"/>
    <s v="OK"/>
    <b v="1"/>
    <n v="920.37"/>
    <s v="OK"/>
    <b v="1"/>
    <s v="Bank Transfer"/>
    <x v="1"/>
    <n v="920.37"/>
    <s v="OK"/>
  </r>
  <r>
    <s v="Customer_158"/>
    <x v="34"/>
    <x v="32"/>
    <s v="Smartwatch"/>
    <x v="1"/>
    <n v="1"/>
    <s v="OK"/>
    <b v="1"/>
    <n v="933.58"/>
    <s v="OK"/>
    <b v="1"/>
    <s v="Cash on Delivery"/>
    <x v="2"/>
    <n v="933.58"/>
    <s v="OK"/>
  </r>
  <r>
    <s v="Customer_198"/>
    <x v="35"/>
    <x v="33"/>
    <s v="Vacuum"/>
    <x v="2"/>
    <n v="2"/>
    <s v="OK"/>
    <b v="1"/>
    <n v="497.01"/>
    <s v="OK"/>
    <b v="1"/>
    <s v="Cash on Delivery"/>
    <x v="2"/>
    <n v="994.02"/>
    <s v="OK"/>
  </r>
  <r>
    <s v="Customer_185"/>
    <x v="36"/>
    <x v="26"/>
    <s v="Football"/>
    <x v="3"/>
    <n v="2"/>
    <s v="OK"/>
    <b v="1"/>
    <n v="730.92"/>
    <s v="OK"/>
    <b v="1"/>
    <s v="Cash on Delivery"/>
    <x v="3"/>
    <n v="0"/>
    <s v="OK"/>
  </r>
  <r>
    <s v="Customer_157"/>
    <x v="37"/>
    <x v="34"/>
    <s v="Jacket"/>
    <x v="0"/>
    <n v="4"/>
    <s v="OK"/>
    <b v="1"/>
    <n v="275.10000000000002"/>
    <s v="OK"/>
    <b v="1"/>
    <s v="Bank Transfer"/>
    <x v="1"/>
    <n v="1100.4000000000001"/>
    <s v="OK"/>
  </r>
  <r>
    <s v="Customer_122"/>
    <x v="38"/>
    <x v="35"/>
    <s v="Microwave"/>
    <x v="2"/>
    <n v="2"/>
    <s v="OK"/>
    <b v="1"/>
    <n v="556.92999999999995"/>
    <s v="OK"/>
    <b v="1"/>
    <s v="PayPal"/>
    <x v="2"/>
    <n v="1113.8599999999999"/>
    <s v="OK"/>
  </r>
  <r>
    <s v="Customer_115"/>
    <x v="39"/>
    <x v="36"/>
    <s v="Fiction"/>
    <x v="4"/>
    <n v="2"/>
    <s v="OK"/>
    <b v="1"/>
    <n v="796.84"/>
    <s v="OK"/>
    <b v="1"/>
    <s v="Cash on Delivery"/>
    <x v="0"/>
    <n v="0"/>
    <s v="OK"/>
  </r>
  <r>
    <s v="Customer_153"/>
    <x v="40"/>
    <x v="37"/>
    <s v="Yoga Mat"/>
    <x v="3"/>
    <n v="4"/>
    <s v="OK"/>
    <b v="1"/>
    <n v="278.89999999999998"/>
    <s v="OK"/>
    <b v="1"/>
    <s v="Cash on Delivery"/>
    <x v="1"/>
    <n v="1115.5999999999999"/>
    <s v="OK"/>
  </r>
  <r>
    <s v="Customer_166"/>
    <x v="41"/>
    <x v="38"/>
    <s v="T-shirt"/>
    <x v="0"/>
    <n v="2"/>
    <s v="OK"/>
    <b v="1"/>
    <n v="569.38"/>
    <s v="OK"/>
    <b v="1"/>
    <s v="Cash on Delivery"/>
    <x v="2"/>
    <n v="1138.76"/>
    <s v="OK"/>
  </r>
  <r>
    <s v="Customer_103"/>
    <x v="42"/>
    <x v="39"/>
    <s v="Science"/>
    <x v="4"/>
    <n v="5"/>
    <s v="OK"/>
    <b v="1"/>
    <n v="233.92"/>
    <s v="OK"/>
    <b v="1"/>
    <s v="PayPal"/>
    <x v="1"/>
    <n v="1169.5999999999999"/>
    <s v="OK"/>
  </r>
  <r>
    <s v="Customer_160"/>
    <x v="43"/>
    <x v="40"/>
    <s v="Science"/>
    <x v="4"/>
    <n v="5"/>
    <s v="OK"/>
    <b v="1"/>
    <n v="242.52"/>
    <s v="OK"/>
    <b v="1"/>
    <s v="Cash on Delivery"/>
    <x v="0"/>
    <n v="0"/>
    <s v="OK"/>
  </r>
  <r>
    <s v="Customer_118"/>
    <x v="44"/>
    <x v="41"/>
    <s v="Science"/>
    <x v="4"/>
    <n v="5"/>
    <s v="OK"/>
    <b v="1"/>
    <n v="247.82"/>
    <s v="OK"/>
    <b v="1"/>
    <s v="PayPal"/>
    <x v="1"/>
    <n v="1239.0999999999999"/>
    <s v="OK"/>
  </r>
  <r>
    <s v="Customer_139"/>
    <x v="45"/>
    <x v="42"/>
    <s v="Smartphone"/>
    <x v="1"/>
    <n v="2"/>
    <s v="OK"/>
    <b v="1"/>
    <n v="681.38"/>
    <s v="OK"/>
    <b v="1"/>
    <s v="Credit Card"/>
    <x v="3"/>
    <n v="0"/>
    <s v="OK"/>
  </r>
  <r>
    <s v="Customer_146"/>
    <x v="46"/>
    <x v="43"/>
    <s v="Basketball"/>
    <x v="3"/>
    <n v="2"/>
    <s v="OK"/>
    <b v="1"/>
    <n v="705.42"/>
    <s v="OK"/>
    <b v="1"/>
    <s v="Bank Transfer"/>
    <x v="1"/>
    <n v="1410.84"/>
    <s v="OK"/>
  </r>
  <r>
    <s v="Customer_146"/>
    <x v="46"/>
    <x v="43"/>
    <s v="Basketball"/>
    <x v="3"/>
    <n v="2"/>
    <s v="OK"/>
    <b v="1"/>
    <n v="705.42"/>
    <s v="OK"/>
    <b v="1"/>
    <s v="Bank Transfer"/>
    <x v="1"/>
    <n v="1410.84"/>
    <s v="OK"/>
  </r>
  <r>
    <s v="Customer_178"/>
    <x v="47"/>
    <x v="44"/>
    <s v="Tennis Racket"/>
    <x v="3"/>
    <n v="3"/>
    <s v="OK"/>
    <b v="1"/>
    <n v="472.14"/>
    <s v="OK"/>
    <b v="1"/>
    <s v="PayPal"/>
    <x v="0"/>
    <n v="0"/>
    <s v="OK"/>
  </r>
  <r>
    <s v="Customer_120"/>
    <x v="48"/>
    <x v="45"/>
    <s v="Yoga Mat"/>
    <x v="3"/>
    <n v="5"/>
    <s v="OK"/>
    <b v="1"/>
    <n v="300"/>
    <s v="OK"/>
    <b v="1"/>
    <s v="Credit Card"/>
    <x v="3"/>
    <n v="0"/>
    <s v="OK"/>
  </r>
  <r>
    <s v="Customer_141"/>
    <x v="49"/>
    <x v="46"/>
    <s v="Fiction"/>
    <x v="4"/>
    <n v="3"/>
    <s v="OK"/>
    <b v="1"/>
    <n v="546.04"/>
    <s v="OK"/>
    <b v="1"/>
    <s v="Cash on Delivery"/>
    <x v="0"/>
    <n v="0"/>
    <s v="OK"/>
  </r>
  <r>
    <s v="Customer_127"/>
    <x v="50"/>
    <x v="47"/>
    <s v="Blender"/>
    <x v="2"/>
    <n v="5"/>
    <s v="OK"/>
    <b v="1"/>
    <n v="557"/>
    <s v="OK"/>
    <b v="1"/>
    <s v="Bank Transfer"/>
    <x v="0"/>
    <n v="0"/>
    <s v="OK"/>
  </r>
  <r>
    <s v="Customer_133"/>
    <x v="51"/>
    <x v="48"/>
    <s v="Biography"/>
    <x v="4"/>
    <n v="5"/>
    <s v="OK"/>
    <b v="1"/>
    <n v="343.24"/>
    <s v="OK"/>
    <b v="1"/>
    <s v="Credit Card"/>
    <x v="2"/>
    <n v="1716.2"/>
    <s v="OK"/>
  </r>
  <r>
    <s v="Customer_145"/>
    <x v="52"/>
    <x v="49"/>
    <s v="Laptop"/>
    <x v="1"/>
    <n v="2"/>
    <s v="OK"/>
    <b v="1"/>
    <n v="860.99"/>
    <s v="OK"/>
    <b v="1"/>
    <s v="Bank Transfer"/>
    <x v="0"/>
    <n v="0"/>
    <s v="OK"/>
  </r>
  <r>
    <s v="Customer_111"/>
    <x v="53"/>
    <x v="50"/>
    <s v="Comics"/>
    <x v="4"/>
    <n v="2"/>
    <s v="OK"/>
    <b v="1"/>
    <n v="865.77"/>
    <s v="OK"/>
    <b v="1"/>
    <s v="Credit Card"/>
    <x v="0"/>
    <n v="0"/>
    <s v="OK"/>
  </r>
  <r>
    <s v="Customer_119"/>
    <x v="54"/>
    <x v="51"/>
    <s v="Basketball"/>
    <x v="3"/>
    <n v="4"/>
    <s v="OK"/>
    <b v="1"/>
    <n v="438.19"/>
    <s v="OK"/>
    <b v="1"/>
    <s v="Cash on Delivery"/>
    <x v="1"/>
    <n v="1752.76"/>
    <s v="OK"/>
  </r>
  <r>
    <s v="Customer_173"/>
    <x v="55"/>
    <x v="52"/>
    <s v="Lamp"/>
    <x v="2"/>
    <n v="5"/>
    <s v="OK"/>
    <b v="1"/>
    <n v="351.89"/>
    <s v="OK"/>
    <b v="1"/>
    <s v="Credit Card"/>
    <x v="2"/>
    <n v="1759.4499999999998"/>
    <s v="OK"/>
  </r>
  <r>
    <s v="Customer_191"/>
    <x v="56"/>
    <x v="53"/>
    <s v="Fiction"/>
    <x v="4"/>
    <n v="2"/>
    <s v="OK"/>
    <b v="1"/>
    <n v="881.02"/>
    <s v="OK"/>
    <b v="1"/>
    <s v="Cash on Delivery"/>
    <x v="0"/>
    <n v="0"/>
    <s v="OK"/>
  </r>
  <r>
    <s v="Customer_135"/>
    <x v="57"/>
    <x v="42"/>
    <s v="Smartwatch"/>
    <x v="1"/>
    <n v="4"/>
    <s v="OK"/>
    <b v="1"/>
    <n v="446.19"/>
    <s v="OK"/>
    <b v="1"/>
    <s v="Cash on Delivery"/>
    <x v="3"/>
    <n v="0"/>
    <s v="OK"/>
  </r>
  <r>
    <s v="Customer_123"/>
    <x v="58"/>
    <x v="11"/>
    <s v="Vacuum"/>
    <x v="2"/>
    <n v="3"/>
    <s v="OK"/>
    <b v="1"/>
    <n v="615.91"/>
    <s v="OK"/>
    <b v="1"/>
    <s v="Cash on Delivery"/>
    <x v="3"/>
    <n v="0"/>
    <s v="OK"/>
  </r>
  <r>
    <s v="Customer_199"/>
    <x v="59"/>
    <x v="54"/>
    <s v="Blender"/>
    <x v="2"/>
    <n v="5"/>
    <s v="OK"/>
    <b v="1"/>
    <n v="569"/>
    <s v="OK"/>
    <b v="1"/>
    <s v="Credit Card"/>
    <x v="2"/>
    <n v="2845"/>
    <s v="OK"/>
  </r>
  <r>
    <s v="Customer_172"/>
    <x v="60"/>
    <x v="55"/>
    <s v="Comics"/>
    <x v="4"/>
    <n v="2"/>
    <s v="OK"/>
    <b v="1"/>
    <n v="942.76"/>
    <s v="OK"/>
    <b v="1"/>
    <s v="Bank Transfer"/>
    <x v="0"/>
    <n v="0"/>
    <s v="OK"/>
  </r>
  <r>
    <s v="Customer_110"/>
    <x v="61"/>
    <x v="56"/>
    <s v="Basketball"/>
    <x v="3"/>
    <n v="5"/>
    <s v="OK"/>
    <b v="1"/>
    <n v="400"/>
    <s v="OK"/>
    <b v="1"/>
    <s v="Cash on Delivery"/>
    <x v="3"/>
    <n v="0"/>
    <s v="OK"/>
  </r>
  <r>
    <s v="Customer_171"/>
    <x v="62"/>
    <x v="57"/>
    <s v="shoes"/>
    <x v="0"/>
    <n v="3"/>
    <s v="OK"/>
    <b v="1"/>
    <n v="832"/>
    <s v="OK"/>
    <b v="1"/>
    <s v="PayPal"/>
    <x v="1"/>
    <n v="2496"/>
    <s v="OK"/>
  </r>
  <r>
    <s v="Customer_121"/>
    <x v="63"/>
    <x v="52"/>
    <s v="Basketball"/>
    <x v="3"/>
    <n v="4"/>
    <s v="OK"/>
    <b v="1"/>
    <n v="523.01"/>
    <s v="OK"/>
    <b v="1"/>
    <s v="Credit Card"/>
    <x v="4"/>
    <n v="2092.04"/>
    <s v="OK"/>
  </r>
  <r>
    <s v="Customer_182"/>
    <x v="64"/>
    <x v="58"/>
    <s v="shoes"/>
    <x v="0"/>
    <n v="4"/>
    <s v="OK"/>
    <b v="1"/>
    <n v="701"/>
    <s v="OK"/>
    <b v="1"/>
    <s v="PayPal"/>
    <x v="1"/>
    <n v="2804"/>
    <s v="OK"/>
  </r>
  <r>
    <s v="Customer_142"/>
    <x v="65"/>
    <x v="59"/>
    <s v="shoes"/>
    <x v="0"/>
    <n v="5"/>
    <s v="OK"/>
    <b v="1"/>
    <n v="817"/>
    <s v="OK"/>
    <b v="1"/>
    <s v="Credit Card"/>
    <x v="2"/>
    <n v="4085"/>
    <s v="OK"/>
  </r>
  <r>
    <s v="Customer_140"/>
    <x v="66"/>
    <x v="60"/>
    <s v="Fiction"/>
    <x v="4"/>
    <n v="4"/>
    <s v="OK"/>
    <b v="1"/>
    <n v="588.98"/>
    <s v="OK"/>
    <b v="1"/>
    <s v="Credit Card"/>
    <x v="0"/>
    <n v="0"/>
    <s v="OK"/>
  </r>
  <r>
    <s v="Customer_147"/>
    <x v="67"/>
    <x v="0"/>
    <s v="Jacket"/>
    <x v="0"/>
    <n v="4"/>
    <s v="OK"/>
    <b v="1"/>
    <n v="596.15"/>
    <s v="OK"/>
    <b v="1"/>
    <s v="Cash on Delivery"/>
    <x v="2"/>
    <n v="2384.6"/>
    <s v="OK"/>
  </r>
  <r>
    <s v="Customer_188"/>
    <x v="68"/>
    <x v="61"/>
    <s v="Microwave"/>
    <x v="2"/>
    <n v="5"/>
    <s v="OK"/>
    <b v="1"/>
    <n v="504.05"/>
    <s v="OK"/>
    <b v="1"/>
    <s v="Cash on Delivery"/>
    <x v="2"/>
    <n v="2520.25"/>
    <s v="OK"/>
  </r>
  <r>
    <s v="Customer_179"/>
    <x v="69"/>
    <x v="62"/>
    <s v="Yoga Mat"/>
    <x v="3"/>
    <n v="3"/>
    <s v="OK"/>
    <b v="1"/>
    <n v="868.67"/>
    <s v="OK"/>
    <b v="1"/>
    <s v="PayPal"/>
    <x v="4"/>
    <n v="2606.0099999999998"/>
    <s v="OK"/>
  </r>
  <r>
    <s v="Customer_187"/>
    <x v="70"/>
    <x v="61"/>
    <s v="Smartphone"/>
    <x v="1"/>
    <n v="3"/>
    <s v="OK"/>
    <b v="1"/>
    <n v="882.96"/>
    <s v="OK"/>
    <b v="1"/>
    <s v="Bank Transfer"/>
    <x v="0"/>
    <n v="0"/>
    <s v="OK"/>
  </r>
  <r>
    <s v="Customer_176"/>
    <x v="71"/>
    <x v="63"/>
    <s v="Comics"/>
    <x v="4"/>
    <n v="5"/>
    <s v="OK"/>
    <b v="1"/>
    <n v="530.52"/>
    <s v="OK"/>
    <b v="1"/>
    <s v="Cash on Delivery"/>
    <x v="2"/>
    <n v="2652.6"/>
    <s v="OK"/>
  </r>
  <r>
    <s v="Customer_128"/>
    <x v="72"/>
    <x v="64"/>
    <s v="Lamp"/>
    <x v="2"/>
    <n v="3"/>
    <s v="OK"/>
    <b v="1"/>
    <n v="898.69"/>
    <s v="OK"/>
    <b v="1"/>
    <s v="Bank Transfer"/>
    <x v="4"/>
    <n v="2696.07"/>
    <s v="OK"/>
  </r>
  <r>
    <s v="Customer_107"/>
    <x v="73"/>
    <x v="40"/>
    <s v="Biography"/>
    <x v="4"/>
    <n v="5"/>
    <s v="OK"/>
    <b v="1"/>
    <n v="587.67999999999995"/>
    <s v="OK"/>
    <b v="1"/>
    <s v="PayPal"/>
    <x v="0"/>
    <n v="0"/>
    <s v="OK"/>
  </r>
  <r>
    <s v="Customer_129"/>
    <x v="74"/>
    <x v="65"/>
    <s v="Science"/>
    <x v="4"/>
    <n v="4"/>
    <s v="OK"/>
    <b v="1"/>
    <n v="736.71"/>
    <s v="OK"/>
    <b v="1"/>
    <s v="Bank Transfer"/>
    <x v="0"/>
    <n v="0"/>
    <s v="OK"/>
  </r>
  <r>
    <s v="Customer_134"/>
    <x v="75"/>
    <x v="66"/>
    <s v="T-shirt"/>
    <x v="0"/>
    <n v="5"/>
    <s v="OK"/>
    <b v="1"/>
    <n v="591.53"/>
    <s v="OK"/>
    <b v="1"/>
    <s v="PayPal"/>
    <x v="2"/>
    <n v="2957.6499999999996"/>
    <s v="OK"/>
  </r>
  <r>
    <s v="Customer_112"/>
    <x v="76"/>
    <x v="67"/>
    <s v="shoes"/>
    <x v="0"/>
    <n v="4"/>
    <s v="OK"/>
    <b v="1"/>
    <n v="866"/>
    <s v="OK"/>
    <b v="1"/>
    <s v="Bank Transfer"/>
    <x v="4"/>
    <n v="3464"/>
    <s v="OK"/>
  </r>
  <r>
    <s v="Customer_125"/>
    <x v="77"/>
    <x v="42"/>
    <s v="Comics"/>
    <x v="4"/>
    <n v="4"/>
    <s v="OK"/>
    <b v="1"/>
    <n v="765.69"/>
    <s v="OK"/>
    <b v="1"/>
    <s v="PayPal"/>
    <x v="2"/>
    <n v="3062.76"/>
    <s v="OK"/>
  </r>
  <r>
    <s v="Customer_131"/>
    <x v="78"/>
    <x v="68"/>
    <s v="Lamp"/>
    <x v="2"/>
    <n v="5"/>
    <s v="OK"/>
    <b v="1"/>
    <n v="616.63"/>
    <s v="OK"/>
    <b v="1"/>
    <s v="PayPal"/>
    <x v="2"/>
    <n v="3083.15"/>
    <s v="OK"/>
  </r>
  <r>
    <s v="Customer_142"/>
    <x v="65"/>
    <x v="59"/>
    <s v="shoes"/>
    <x v="0"/>
    <n v="5"/>
    <s v="OK"/>
    <b v="1"/>
    <n v="816"/>
    <s v="OK"/>
    <b v="1"/>
    <s v="Credit Card"/>
    <x v="2"/>
    <n v="4080"/>
    <s v="OK"/>
  </r>
  <r>
    <s v="Customer_126"/>
    <x v="79"/>
    <x v="69"/>
    <s v="shoes"/>
    <x v="0"/>
    <n v="4"/>
    <s v="OK"/>
    <b v="1"/>
    <n v="883"/>
    <s v="OK"/>
    <b v="1"/>
    <s v="Bank Transfer"/>
    <x v="3"/>
    <n v="0"/>
    <s v="OK"/>
  </r>
  <r>
    <s v="Customer_170"/>
    <x v="80"/>
    <x v="70"/>
    <s v="Jeans"/>
    <x v="0"/>
    <n v="5"/>
    <s v="OK"/>
    <b v="1"/>
    <n v="741.63"/>
    <s v="OK"/>
    <b v="1"/>
    <s v="Bank Transfer"/>
    <x v="1"/>
    <n v="3708.15"/>
    <s v="OK"/>
  </r>
  <r>
    <s v="Customer_154"/>
    <x v="81"/>
    <x v="71"/>
    <s v="Blender"/>
    <x v="2"/>
    <n v="5"/>
    <s v="OK"/>
    <b v="1"/>
    <n v="557"/>
    <s v="OK"/>
    <b v="1"/>
    <s v="Cash on Delivery"/>
    <x v="3"/>
    <n v="0"/>
    <s v="OK"/>
  </r>
  <r>
    <s v="Customer_195"/>
    <x v="82"/>
    <x v="72"/>
    <s v="Biography"/>
    <x v="4"/>
    <n v="5"/>
    <s v="OK"/>
    <b v="1"/>
    <n v="817.46"/>
    <s v="OK"/>
    <b v="1"/>
    <s v="Cash on Delivery"/>
    <x v="0"/>
    <n v="0"/>
    <s v="O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n v="155"/>
    <x v="0"/>
    <x v="0"/>
    <x v="0"/>
    <x v="0"/>
    <x v="0"/>
    <x v="0"/>
    <s v="OK"/>
    <b v="1"/>
    <n v="523"/>
    <s v="OK"/>
    <b v="1"/>
    <x v="0"/>
    <x v="0"/>
    <n v="0"/>
    <s v="OK"/>
  </r>
  <r>
    <n v="177"/>
    <x v="1"/>
    <x v="1"/>
    <x v="1"/>
    <x v="1"/>
    <x v="1"/>
    <x v="0"/>
    <s v="OK"/>
    <b v="1"/>
    <n v="578.53"/>
    <s v="OK"/>
    <b v="1"/>
    <x v="1"/>
    <x v="0"/>
    <n v="0"/>
    <s v="OK"/>
  </r>
  <r>
    <n v="175"/>
    <x v="2"/>
    <x v="2"/>
    <x v="2"/>
    <x v="2"/>
    <x v="1"/>
    <x v="0"/>
    <s v="OK"/>
    <b v="1"/>
    <n v="111.36"/>
    <s v="OK"/>
    <b v="1"/>
    <x v="2"/>
    <x v="1"/>
    <n v="111.36"/>
    <s v="OK"/>
  </r>
  <r>
    <n v="175"/>
    <x v="2"/>
    <x v="2"/>
    <x v="2"/>
    <x v="2"/>
    <x v="1"/>
    <x v="0"/>
    <s v="OK"/>
    <b v="1"/>
    <n v="111.36"/>
    <s v="OK"/>
    <b v="1"/>
    <x v="2"/>
    <x v="1"/>
    <n v="111.36"/>
    <s v="OK"/>
  </r>
  <r>
    <n v="100"/>
    <x v="3"/>
    <x v="3"/>
    <x v="3"/>
    <x v="3"/>
    <x v="2"/>
    <x v="1"/>
    <s v="OK"/>
    <b v="1"/>
    <n v="438"/>
    <s v="OK"/>
    <b v="1"/>
    <x v="3"/>
    <x v="2"/>
    <n v="1314"/>
    <s v="OK"/>
  </r>
  <r>
    <n v="197"/>
    <x v="4"/>
    <x v="4"/>
    <x v="4"/>
    <x v="3"/>
    <x v="2"/>
    <x v="0"/>
    <s v="OK"/>
    <b v="1"/>
    <n v="545"/>
    <s v="OK"/>
    <b v="1"/>
    <x v="0"/>
    <x v="3"/>
    <n v="0"/>
    <s v="OK"/>
  </r>
  <r>
    <n v="150"/>
    <x v="5"/>
    <x v="5"/>
    <x v="5"/>
    <x v="4"/>
    <x v="3"/>
    <x v="0"/>
    <s v="OK"/>
    <b v="1"/>
    <n v="206.19"/>
    <s v="OK"/>
    <b v="1"/>
    <x v="2"/>
    <x v="0"/>
    <n v="0"/>
    <s v="OK"/>
  </r>
  <r>
    <n v="181"/>
    <x v="6"/>
    <x v="6"/>
    <x v="6"/>
    <x v="5"/>
    <x v="1"/>
    <x v="0"/>
    <s v="OK"/>
    <b v="1"/>
    <n v="266.48"/>
    <s v="OK"/>
    <b v="1"/>
    <x v="3"/>
    <x v="3"/>
    <n v="0"/>
    <s v="OK"/>
  </r>
  <r>
    <n v="132"/>
    <x v="7"/>
    <x v="7"/>
    <x v="7"/>
    <x v="4"/>
    <x v="3"/>
    <x v="0"/>
    <s v="OK"/>
    <b v="1"/>
    <n v="266.7"/>
    <s v="OK"/>
    <b v="1"/>
    <x v="0"/>
    <x v="4"/>
    <n v="266.7"/>
    <s v="OK"/>
  </r>
  <r>
    <n v="168"/>
    <x v="8"/>
    <x v="8"/>
    <x v="8"/>
    <x v="6"/>
    <x v="4"/>
    <x v="2"/>
    <s v="OK"/>
    <b v="1"/>
    <n v="141.49"/>
    <s v="OK"/>
    <b v="1"/>
    <x v="0"/>
    <x v="3"/>
    <n v="0"/>
    <s v="OK"/>
  </r>
  <r>
    <n v="137"/>
    <x v="9"/>
    <x v="9"/>
    <x v="9"/>
    <x v="7"/>
    <x v="2"/>
    <x v="1"/>
    <s v="OK"/>
    <b v="1"/>
    <n v="691.19"/>
    <s v="OK"/>
    <b v="1"/>
    <x v="3"/>
    <x v="4"/>
    <n v="2073.5700000000002"/>
    <s v="OK"/>
  </r>
  <r>
    <n v="162"/>
    <x v="10"/>
    <x v="10"/>
    <x v="10"/>
    <x v="3"/>
    <x v="2"/>
    <x v="2"/>
    <s v="OK"/>
    <b v="1"/>
    <n v="553"/>
    <s v="OK"/>
    <b v="1"/>
    <x v="2"/>
    <x v="0"/>
    <n v="0"/>
    <s v="OK"/>
  </r>
  <r>
    <n v="186"/>
    <x v="11"/>
    <x v="11"/>
    <x v="11"/>
    <x v="1"/>
    <x v="1"/>
    <x v="0"/>
    <s v="OK"/>
    <b v="1"/>
    <n v="365.34"/>
    <s v="OK"/>
    <b v="1"/>
    <x v="1"/>
    <x v="4"/>
    <n v="365.34"/>
    <s v="OK"/>
  </r>
  <r>
    <n v="105"/>
    <x v="12"/>
    <x v="12"/>
    <x v="12"/>
    <x v="8"/>
    <x v="3"/>
    <x v="1"/>
    <s v="OK"/>
    <b v="1"/>
    <n v="552.51"/>
    <s v="OK"/>
    <b v="1"/>
    <x v="3"/>
    <x v="3"/>
    <n v="0"/>
    <s v="OK"/>
  </r>
  <r>
    <n v="102"/>
    <x v="13"/>
    <x v="13"/>
    <x v="13"/>
    <x v="8"/>
    <x v="3"/>
    <x v="0"/>
    <s v="OK"/>
    <b v="1"/>
    <n v="389.05"/>
    <s v="OK"/>
    <b v="1"/>
    <x v="0"/>
    <x v="4"/>
    <n v="389.05"/>
    <s v="OK"/>
  </r>
  <r>
    <n v="184"/>
    <x v="14"/>
    <x v="14"/>
    <x v="14"/>
    <x v="9"/>
    <x v="0"/>
    <x v="3"/>
    <s v="OK"/>
    <b v="1"/>
    <n v="741.63"/>
    <s v="OK"/>
    <b v="1"/>
    <x v="1"/>
    <x v="1"/>
    <n v="2966.52"/>
    <s v="OK"/>
  </r>
  <r>
    <n v="113"/>
    <x v="15"/>
    <x v="15"/>
    <x v="15"/>
    <x v="10"/>
    <x v="4"/>
    <x v="0"/>
    <s v="OK"/>
    <b v="1"/>
    <n v="411.81"/>
    <s v="OK"/>
    <b v="1"/>
    <x v="2"/>
    <x v="1"/>
    <n v="411.81"/>
    <s v="OK"/>
  </r>
  <r>
    <n v="159"/>
    <x v="16"/>
    <x v="16"/>
    <x v="1"/>
    <x v="11"/>
    <x v="2"/>
    <x v="1"/>
    <s v="OK"/>
    <b v="1"/>
    <n v="163.16"/>
    <s v="OK"/>
    <b v="1"/>
    <x v="0"/>
    <x v="2"/>
    <n v="489.48"/>
    <s v="OK"/>
  </r>
  <r>
    <n v="138"/>
    <x v="17"/>
    <x v="17"/>
    <x v="16"/>
    <x v="12"/>
    <x v="2"/>
    <x v="0"/>
    <s v="OK"/>
    <b v="1"/>
    <n v="531.05999999999995"/>
    <s v="OK"/>
    <b v="1"/>
    <x v="0"/>
    <x v="1"/>
    <n v="531.05999999999995"/>
    <s v="OK"/>
  </r>
  <r>
    <n v="104"/>
    <x v="18"/>
    <x v="18"/>
    <x v="17"/>
    <x v="6"/>
    <x v="4"/>
    <x v="0"/>
    <s v="OK"/>
    <b v="1"/>
    <n v="552.51"/>
    <s v="OK"/>
    <b v="1"/>
    <x v="3"/>
    <x v="1"/>
    <n v="552.51"/>
    <s v="OK"/>
  </r>
  <r>
    <n v="169"/>
    <x v="19"/>
    <x v="19"/>
    <x v="18"/>
    <x v="13"/>
    <x v="3"/>
    <x v="0"/>
    <s v="OK"/>
    <b v="1"/>
    <n v="582.13"/>
    <s v="OK"/>
    <b v="1"/>
    <x v="2"/>
    <x v="0"/>
    <n v="0"/>
    <s v="OK"/>
  </r>
  <r>
    <n v="108"/>
    <x v="20"/>
    <x v="20"/>
    <x v="19"/>
    <x v="14"/>
    <x v="4"/>
    <x v="0"/>
    <s v="OK"/>
    <b v="1"/>
    <n v="600.29"/>
    <s v="OK"/>
    <b v="1"/>
    <x v="3"/>
    <x v="1"/>
    <n v="600.29"/>
    <s v="OK"/>
  </r>
  <r>
    <n v="151"/>
    <x v="21"/>
    <x v="21"/>
    <x v="20"/>
    <x v="15"/>
    <x v="4"/>
    <x v="2"/>
    <s v="OK"/>
    <b v="1"/>
    <n v="457.16"/>
    <s v="OK"/>
    <b v="1"/>
    <x v="0"/>
    <x v="1"/>
    <n v="914.32"/>
    <s v="OK"/>
  </r>
  <r>
    <n v="148"/>
    <x v="22"/>
    <x v="22"/>
    <x v="21"/>
    <x v="8"/>
    <x v="3"/>
    <x v="0"/>
    <s v="OK"/>
    <b v="1"/>
    <n v="660.98"/>
    <s v="OK"/>
    <b v="1"/>
    <x v="3"/>
    <x v="0"/>
    <n v="0"/>
    <s v="OK"/>
  </r>
  <r>
    <n v="136"/>
    <x v="23"/>
    <x v="23"/>
    <x v="22"/>
    <x v="2"/>
    <x v="1"/>
    <x v="0"/>
    <s v="OK"/>
    <b v="1"/>
    <n v="696.71"/>
    <s v="OK"/>
    <b v="1"/>
    <x v="2"/>
    <x v="4"/>
    <n v="696.71"/>
    <s v="OK"/>
  </r>
  <r>
    <n v="152"/>
    <x v="24"/>
    <x v="24"/>
    <x v="23"/>
    <x v="12"/>
    <x v="2"/>
    <x v="1"/>
    <s v="OK"/>
    <b v="1"/>
    <n v="233.11"/>
    <s v="OK"/>
    <b v="1"/>
    <x v="0"/>
    <x v="0"/>
    <n v="0"/>
    <s v="OK"/>
  </r>
  <r>
    <n v="163"/>
    <x v="25"/>
    <x v="25"/>
    <x v="24"/>
    <x v="16"/>
    <x v="1"/>
    <x v="1"/>
    <s v="OK"/>
    <b v="1"/>
    <n v="235.26"/>
    <s v="OK"/>
    <b v="1"/>
    <x v="3"/>
    <x v="2"/>
    <n v="705.78"/>
    <s v="OK"/>
  </r>
  <r>
    <n v="174"/>
    <x v="26"/>
    <x v="26"/>
    <x v="25"/>
    <x v="11"/>
    <x v="2"/>
    <x v="3"/>
    <s v="OK"/>
    <b v="1"/>
    <n v="187.48"/>
    <s v="OK"/>
    <b v="1"/>
    <x v="2"/>
    <x v="0"/>
    <n v="0"/>
    <s v="OK"/>
  </r>
  <r>
    <n v="189"/>
    <x v="27"/>
    <x v="27"/>
    <x v="26"/>
    <x v="12"/>
    <x v="2"/>
    <x v="0"/>
    <s v="OK"/>
    <b v="1"/>
    <n v="814.68"/>
    <s v="OK"/>
    <b v="1"/>
    <x v="3"/>
    <x v="0"/>
    <n v="0"/>
    <s v="OK"/>
  </r>
  <r>
    <n v="114"/>
    <x v="28"/>
    <x v="28"/>
    <x v="24"/>
    <x v="5"/>
    <x v="1"/>
    <x v="2"/>
    <s v="OK"/>
    <b v="1"/>
    <n v="413.13"/>
    <s v="OK"/>
    <b v="1"/>
    <x v="3"/>
    <x v="2"/>
    <n v="826.26"/>
    <s v="OK"/>
  </r>
  <r>
    <n v="180"/>
    <x v="29"/>
    <x v="29"/>
    <x v="27"/>
    <x v="1"/>
    <x v="1"/>
    <x v="2"/>
    <s v="OK"/>
    <b v="1"/>
    <n v="418.38"/>
    <s v="OK"/>
    <b v="1"/>
    <x v="2"/>
    <x v="1"/>
    <n v="836.76"/>
    <s v="OK"/>
  </r>
  <r>
    <n v="161"/>
    <x v="30"/>
    <x v="30"/>
    <x v="28"/>
    <x v="14"/>
    <x v="4"/>
    <x v="3"/>
    <s v="OK"/>
    <b v="1"/>
    <n v="209.32"/>
    <s v="OK"/>
    <b v="1"/>
    <x v="1"/>
    <x v="2"/>
    <n v="837.28"/>
    <s v="OK"/>
  </r>
  <r>
    <n v="109"/>
    <x v="31"/>
    <x v="31"/>
    <x v="29"/>
    <x v="8"/>
    <x v="3"/>
    <x v="4"/>
    <s v="OK"/>
    <b v="1"/>
    <n v="168.34"/>
    <s v="OK"/>
    <b v="1"/>
    <x v="2"/>
    <x v="2"/>
    <n v="841.7"/>
    <s v="OK"/>
  </r>
  <r>
    <n v="165"/>
    <x v="32"/>
    <x v="32"/>
    <x v="30"/>
    <x v="0"/>
    <x v="0"/>
    <x v="2"/>
    <s v="OK"/>
    <b v="1"/>
    <n v="645"/>
    <s v="OK"/>
    <b v="1"/>
    <x v="2"/>
    <x v="4"/>
    <n v="1290"/>
    <s v="OK"/>
  </r>
  <r>
    <n v="190"/>
    <x v="33"/>
    <x v="33"/>
    <x v="31"/>
    <x v="7"/>
    <x v="2"/>
    <x v="0"/>
    <s v="OK"/>
    <b v="1"/>
    <n v="920.37"/>
    <s v="OK"/>
    <b v="1"/>
    <x v="1"/>
    <x v="1"/>
    <n v="920.37"/>
    <s v="OK"/>
  </r>
  <r>
    <n v="158"/>
    <x v="34"/>
    <x v="34"/>
    <x v="32"/>
    <x v="16"/>
    <x v="1"/>
    <x v="0"/>
    <s v="OK"/>
    <b v="1"/>
    <n v="933.58"/>
    <s v="OK"/>
    <b v="1"/>
    <x v="3"/>
    <x v="2"/>
    <n v="933.58"/>
    <s v="OK"/>
  </r>
  <r>
    <n v="198"/>
    <x v="35"/>
    <x v="35"/>
    <x v="33"/>
    <x v="7"/>
    <x v="2"/>
    <x v="2"/>
    <s v="OK"/>
    <b v="1"/>
    <n v="497.01"/>
    <s v="OK"/>
    <b v="1"/>
    <x v="3"/>
    <x v="2"/>
    <n v="994.02"/>
    <s v="OK"/>
  </r>
  <r>
    <n v="185"/>
    <x v="36"/>
    <x v="36"/>
    <x v="26"/>
    <x v="17"/>
    <x v="3"/>
    <x v="2"/>
    <s v="OK"/>
    <b v="1"/>
    <n v="730.92"/>
    <s v="OK"/>
    <b v="1"/>
    <x v="3"/>
    <x v="3"/>
    <n v="0"/>
    <s v="OK"/>
  </r>
  <r>
    <n v="157"/>
    <x v="37"/>
    <x v="37"/>
    <x v="34"/>
    <x v="18"/>
    <x v="0"/>
    <x v="3"/>
    <s v="OK"/>
    <b v="1"/>
    <n v="275.10000000000002"/>
    <s v="OK"/>
    <b v="1"/>
    <x v="1"/>
    <x v="1"/>
    <n v="1100.4000000000001"/>
    <s v="OK"/>
  </r>
  <r>
    <n v="122"/>
    <x v="38"/>
    <x v="38"/>
    <x v="35"/>
    <x v="11"/>
    <x v="2"/>
    <x v="2"/>
    <s v="OK"/>
    <b v="1"/>
    <n v="556.92999999999995"/>
    <s v="OK"/>
    <b v="1"/>
    <x v="0"/>
    <x v="2"/>
    <n v="1113.8599999999999"/>
    <s v="OK"/>
  </r>
  <r>
    <n v="115"/>
    <x v="39"/>
    <x v="39"/>
    <x v="36"/>
    <x v="10"/>
    <x v="4"/>
    <x v="2"/>
    <s v="OK"/>
    <b v="1"/>
    <n v="796.84"/>
    <s v="OK"/>
    <b v="1"/>
    <x v="3"/>
    <x v="0"/>
    <n v="0"/>
    <s v="OK"/>
  </r>
  <r>
    <n v="153"/>
    <x v="40"/>
    <x v="40"/>
    <x v="37"/>
    <x v="4"/>
    <x v="3"/>
    <x v="3"/>
    <s v="OK"/>
    <b v="1"/>
    <n v="278.89999999999998"/>
    <s v="OK"/>
    <b v="1"/>
    <x v="3"/>
    <x v="1"/>
    <n v="1115.5999999999999"/>
    <s v="OK"/>
  </r>
  <r>
    <n v="166"/>
    <x v="41"/>
    <x v="41"/>
    <x v="38"/>
    <x v="19"/>
    <x v="0"/>
    <x v="2"/>
    <s v="OK"/>
    <b v="1"/>
    <n v="569.38"/>
    <s v="OK"/>
    <b v="1"/>
    <x v="3"/>
    <x v="2"/>
    <n v="1138.76"/>
    <s v="OK"/>
  </r>
  <r>
    <n v="103"/>
    <x v="42"/>
    <x v="42"/>
    <x v="39"/>
    <x v="14"/>
    <x v="4"/>
    <x v="4"/>
    <s v="OK"/>
    <b v="1"/>
    <n v="233.92"/>
    <s v="OK"/>
    <b v="1"/>
    <x v="0"/>
    <x v="1"/>
    <n v="1169.5999999999999"/>
    <s v="OK"/>
  </r>
  <r>
    <n v="160"/>
    <x v="43"/>
    <x v="43"/>
    <x v="40"/>
    <x v="14"/>
    <x v="4"/>
    <x v="4"/>
    <s v="OK"/>
    <b v="1"/>
    <n v="242.52"/>
    <s v="OK"/>
    <b v="1"/>
    <x v="3"/>
    <x v="0"/>
    <n v="0"/>
    <s v="OK"/>
  </r>
  <r>
    <n v="118"/>
    <x v="44"/>
    <x v="44"/>
    <x v="41"/>
    <x v="14"/>
    <x v="4"/>
    <x v="4"/>
    <s v="OK"/>
    <b v="1"/>
    <n v="247.82"/>
    <s v="OK"/>
    <b v="1"/>
    <x v="0"/>
    <x v="1"/>
    <n v="1239.0999999999999"/>
    <s v="OK"/>
  </r>
  <r>
    <n v="139"/>
    <x v="45"/>
    <x v="45"/>
    <x v="42"/>
    <x v="5"/>
    <x v="1"/>
    <x v="2"/>
    <s v="OK"/>
    <b v="1"/>
    <n v="681.38"/>
    <s v="OK"/>
    <b v="1"/>
    <x v="2"/>
    <x v="3"/>
    <n v="0"/>
    <s v="OK"/>
  </r>
  <r>
    <n v="146"/>
    <x v="46"/>
    <x v="46"/>
    <x v="43"/>
    <x v="13"/>
    <x v="3"/>
    <x v="2"/>
    <s v="OK"/>
    <b v="1"/>
    <n v="705.42"/>
    <s v="OK"/>
    <b v="1"/>
    <x v="1"/>
    <x v="1"/>
    <n v="1410.84"/>
    <s v="OK"/>
  </r>
  <r>
    <n v="146"/>
    <x v="46"/>
    <x v="46"/>
    <x v="43"/>
    <x v="13"/>
    <x v="3"/>
    <x v="2"/>
    <s v="OK"/>
    <b v="1"/>
    <n v="705.42"/>
    <s v="OK"/>
    <b v="1"/>
    <x v="1"/>
    <x v="1"/>
    <n v="1410.84"/>
    <s v="OK"/>
  </r>
  <r>
    <n v="178"/>
    <x v="47"/>
    <x v="47"/>
    <x v="44"/>
    <x v="8"/>
    <x v="3"/>
    <x v="1"/>
    <s v="OK"/>
    <b v="1"/>
    <n v="472.14"/>
    <s v="OK"/>
    <b v="1"/>
    <x v="0"/>
    <x v="0"/>
    <n v="0"/>
    <s v="OK"/>
  </r>
  <r>
    <n v="120"/>
    <x v="48"/>
    <x v="48"/>
    <x v="45"/>
    <x v="4"/>
    <x v="3"/>
    <x v="4"/>
    <s v="OK"/>
    <b v="1"/>
    <n v="300"/>
    <s v="OK"/>
    <b v="1"/>
    <x v="2"/>
    <x v="3"/>
    <n v="0"/>
    <s v="OK"/>
  </r>
  <r>
    <n v="141"/>
    <x v="49"/>
    <x v="49"/>
    <x v="46"/>
    <x v="10"/>
    <x v="4"/>
    <x v="1"/>
    <s v="OK"/>
    <b v="1"/>
    <n v="546.04"/>
    <s v="OK"/>
    <b v="1"/>
    <x v="3"/>
    <x v="0"/>
    <n v="0"/>
    <s v="OK"/>
  </r>
  <r>
    <n v="127"/>
    <x v="50"/>
    <x v="50"/>
    <x v="47"/>
    <x v="3"/>
    <x v="2"/>
    <x v="4"/>
    <s v="OK"/>
    <b v="1"/>
    <n v="557"/>
    <s v="OK"/>
    <b v="1"/>
    <x v="1"/>
    <x v="0"/>
    <n v="0"/>
    <s v="OK"/>
  </r>
  <r>
    <n v="133"/>
    <x v="51"/>
    <x v="51"/>
    <x v="48"/>
    <x v="6"/>
    <x v="4"/>
    <x v="4"/>
    <s v="OK"/>
    <b v="1"/>
    <n v="343.24"/>
    <s v="OK"/>
    <b v="1"/>
    <x v="2"/>
    <x v="2"/>
    <n v="1716.2"/>
    <s v="OK"/>
  </r>
  <r>
    <n v="145"/>
    <x v="52"/>
    <x v="52"/>
    <x v="49"/>
    <x v="1"/>
    <x v="1"/>
    <x v="2"/>
    <s v="OK"/>
    <b v="1"/>
    <n v="860.99"/>
    <s v="OK"/>
    <b v="1"/>
    <x v="1"/>
    <x v="0"/>
    <n v="0"/>
    <s v="OK"/>
  </r>
  <r>
    <n v="111"/>
    <x v="53"/>
    <x v="53"/>
    <x v="50"/>
    <x v="15"/>
    <x v="4"/>
    <x v="2"/>
    <s v="OK"/>
    <b v="1"/>
    <n v="865.77"/>
    <s v="OK"/>
    <b v="1"/>
    <x v="2"/>
    <x v="0"/>
    <n v="0"/>
    <s v="OK"/>
  </r>
  <r>
    <n v="119"/>
    <x v="54"/>
    <x v="54"/>
    <x v="51"/>
    <x v="13"/>
    <x v="3"/>
    <x v="3"/>
    <s v="OK"/>
    <b v="1"/>
    <n v="438.19"/>
    <s v="OK"/>
    <b v="1"/>
    <x v="3"/>
    <x v="1"/>
    <n v="1752.76"/>
    <s v="OK"/>
  </r>
  <r>
    <n v="173"/>
    <x v="55"/>
    <x v="55"/>
    <x v="52"/>
    <x v="12"/>
    <x v="2"/>
    <x v="4"/>
    <s v="OK"/>
    <b v="1"/>
    <n v="351.89"/>
    <s v="OK"/>
    <b v="1"/>
    <x v="2"/>
    <x v="2"/>
    <n v="1759.4499999999998"/>
    <s v="OK"/>
  </r>
  <r>
    <n v="191"/>
    <x v="56"/>
    <x v="56"/>
    <x v="53"/>
    <x v="10"/>
    <x v="4"/>
    <x v="2"/>
    <s v="OK"/>
    <b v="1"/>
    <n v="881.02"/>
    <s v="OK"/>
    <b v="1"/>
    <x v="3"/>
    <x v="0"/>
    <n v="0"/>
    <s v="OK"/>
  </r>
  <r>
    <n v="135"/>
    <x v="57"/>
    <x v="57"/>
    <x v="42"/>
    <x v="16"/>
    <x v="1"/>
    <x v="3"/>
    <s v="OK"/>
    <b v="1"/>
    <n v="446.19"/>
    <s v="OK"/>
    <b v="1"/>
    <x v="3"/>
    <x v="3"/>
    <n v="0"/>
    <s v="OK"/>
  </r>
  <r>
    <n v="123"/>
    <x v="58"/>
    <x v="58"/>
    <x v="11"/>
    <x v="7"/>
    <x v="2"/>
    <x v="1"/>
    <s v="OK"/>
    <b v="1"/>
    <n v="615.91"/>
    <s v="OK"/>
    <b v="1"/>
    <x v="3"/>
    <x v="3"/>
    <n v="0"/>
    <s v="OK"/>
  </r>
  <r>
    <n v="199"/>
    <x v="59"/>
    <x v="59"/>
    <x v="54"/>
    <x v="3"/>
    <x v="2"/>
    <x v="4"/>
    <s v="OK"/>
    <b v="1"/>
    <n v="569"/>
    <s v="OK"/>
    <b v="1"/>
    <x v="2"/>
    <x v="2"/>
    <n v="2845"/>
    <s v="OK"/>
  </r>
  <r>
    <n v="172"/>
    <x v="60"/>
    <x v="60"/>
    <x v="55"/>
    <x v="15"/>
    <x v="4"/>
    <x v="2"/>
    <s v="OK"/>
    <b v="1"/>
    <n v="942.76"/>
    <s v="OK"/>
    <b v="1"/>
    <x v="1"/>
    <x v="0"/>
    <n v="0"/>
    <s v="OK"/>
  </r>
  <r>
    <n v="110"/>
    <x v="61"/>
    <x v="61"/>
    <x v="56"/>
    <x v="13"/>
    <x v="3"/>
    <x v="4"/>
    <s v="OK"/>
    <b v="1"/>
    <n v="400"/>
    <s v="OK"/>
    <b v="1"/>
    <x v="3"/>
    <x v="3"/>
    <n v="0"/>
    <s v="OK"/>
  </r>
  <r>
    <n v="171"/>
    <x v="62"/>
    <x v="62"/>
    <x v="57"/>
    <x v="0"/>
    <x v="0"/>
    <x v="1"/>
    <s v="OK"/>
    <b v="1"/>
    <n v="832"/>
    <s v="OK"/>
    <b v="1"/>
    <x v="0"/>
    <x v="1"/>
    <n v="2496"/>
    <s v="OK"/>
  </r>
  <r>
    <n v="121"/>
    <x v="63"/>
    <x v="63"/>
    <x v="52"/>
    <x v="13"/>
    <x v="3"/>
    <x v="3"/>
    <s v="OK"/>
    <b v="1"/>
    <n v="523.01"/>
    <s v="OK"/>
    <b v="1"/>
    <x v="2"/>
    <x v="4"/>
    <n v="2092.04"/>
    <s v="OK"/>
  </r>
  <r>
    <n v="182"/>
    <x v="64"/>
    <x v="64"/>
    <x v="58"/>
    <x v="0"/>
    <x v="0"/>
    <x v="3"/>
    <s v="OK"/>
    <b v="1"/>
    <n v="701"/>
    <s v="OK"/>
    <b v="1"/>
    <x v="0"/>
    <x v="1"/>
    <n v="2804"/>
    <s v="OK"/>
  </r>
  <r>
    <n v="142"/>
    <x v="65"/>
    <x v="65"/>
    <x v="59"/>
    <x v="0"/>
    <x v="0"/>
    <x v="4"/>
    <s v="OK"/>
    <b v="1"/>
    <n v="817"/>
    <s v="OK"/>
    <b v="1"/>
    <x v="2"/>
    <x v="2"/>
    <n v="4085"/>
    <s v="OK"/>
  </r>
  <r>
    <n v="140"/>
    <x v="66"/>
    <x v="66"/>
    <x v="60"/>
    <x v="10"/>
    <x v="4"/>
    <x v="3"/>
    <s v="OK"/>
    <b v="1"/>
    <n v="588.98"/>
    <s v="OK"/>
    <b v="1"/>
    <x v="2"/>
    <x v="0"/>
    <n v="0"/>
    <s v="OK"/>
  </r>
  <r>
    <n v="147"/>
    <x v="67"/>
    <x v="67"/>
    <x v="0"/>
    <x v="18"/>
    <x v="0"/>
    <x v="3"/>
    <s v="OK"/>
    <b v="1"/>
    <n v="596.15"/>
    <s v="OK"/>
    <b v="1"/>
    <x v="3"/>
    <x v="2"/>
    <n v="2384.6"/>
    <s v="OK"/>
  </r>
  <r>
    <n v="188"/>
    <x v="68"/>
    <x v="68"/>
    <x v="61"/>
    <x v="11"/>
    <x v="2"/>
    <x v="4"/>
    <s v="OK"/>
    <b v="1"/>
    <n v="504.05"/>
    <s v="OK"/>
    <b v="1"/>
    <x v="3"/>
    <x v="2"/>
    <n v="2520.25"/>
    <s v="OK"/>
  </r>
  <r>
    <n v="179"/>
    <x v="69"/>
    <x v="69"/>
    <x v="62"/>
    <x v="4"/>
    <x v="3"/>
    <x v="1"/>
    <s v="OK"/>
    <b v="1"/>
    <n v="868.67"/>
    <s v="OK"/>
    <b v="1"/>
    <x v="0"/>
    <x v="4"/>
    <n v="2606.0099999999998"/>
    <s v="OK"/>
  </r>
  <r>
    <n v="187"/>
    <x v="70"/>
    <x v="70"/>
    <x v="61"/>
    <x v="5"/>
    <x v="1"/>
    <x v="1"/>
    <s v="OK"/>
    <b v="1"/>
    <n v="882.96"/>
    <s v="OK"/>
    <b v="1"/>
    <x v="1"/>
    <x v="0"/>
    <n v="0"/>
    <s v="OK"/>
  </r>
  <r>
    <n v="176"/>
    <x v="71"/>
    <x v="71"/>
    <x v="63"/>
    <x v="15"/>
    <x v="4"/>
    <x v="4"/>
    <s v="OK"/>
    <b v="1"/>
    <n v="530.52"/>
    <s v="OK"/>
    <b v="1"/>
    <x v="3"/>
    <x v="2"/>
    <n v="2652.6"/>
    <s v="OK"/>
  </r>
  <r>
    <n v="128"/>
    <x v="72"/>
    <x v="72"/>
    <x v="64"/>
    <x v="12"/>
    <x v="2"/>
    <x v="1"/>
    <s v="OK"/>
    <b v="1"/>
    <n v="898.69"/>
    <s v="OK"/>
    <b v="1"/>
    <x v="1"/>
    <x v="4"/>
    <n v="2696.07"/>
    <s v="OK"/>
  </r>
  <r>
    <n v="107"/>
    <x v="73"/>
    <x v="73"/>
    <x v="40"/>
    <x v="6"/>
    <x v="4"/>
    <x v="4"/>
    <s v="OK"/>
    <b v="1"/>
    <n v="587.67999999999995"/>
    <s v="OK"/>
    <b v="1"/>
    <x v="0"/>
    <x v="0"/>
    <n v="0"/>
    <s v="OK"/>
  </r>
  <r>
    <n v="129"/>
    <x v="74"/>
    <x v="74"/>
    <x v="65"/>
    <x v="14"/>
    <x v="4"/>
    <x v="3"/>
    <s v="OK"/>
    <b v="1"/>
    <n v="736.71"/>
    <s v="OK"/>
    <b v="1"/>
    <x v="1"/>
    <x v="0"/>
    <n v="0"/>
    <s v="OK"/>
  </r>
  <r>
    <n v="134"/>
    <x v="75"/>
    <x v="75"/>
    <x v="66"/>
    <x v="19"/>
    <x v="0"/>
    <x v="4"/>
    <s v="OK"/>
    <b v="1"/>
    <n v="591.53"/>
    <s v="OK"/>
    <b v="1"/>
    <x v="0"/>
    <x v="2"/>
    <n v="2957.6499999999996"/>
    <s v="OK"/>
  </r>
  <r>
    <n v="112"/>
    <x v="76"/>
    <x v="76"/>
    <x v="67"/>
    <x v="0"/>
    <x v="0"/>
    <x v="3"/>
    <s v="OK"/>
    <b v="1"/>
    <n v="866"/>
    <s v="OK"/>
    <b v="1"/>
    <x v="1"/>
    <x v="4"/>
    <n v="3464"/>
    <s v="OK"/>
  </r>
  <r>
    <n v="125"/>
    <x v="77"/>
    <x v="77"/>
    <x v="42"/>
    <x v="15"/>
    <x v="4"/>
    <x v="3"/>
    <s v="OK"/>
    <b v="1"/>
    <n v="765.69"/>
    <s v="OK"/>
    <b v="1"/>
    <x v="0"/>
    <x v="2"/>
    <n v="3062.76"/>
    <s v="OK"/>
  </r>
  <r>
    <n v="131"/>
    <x v="78"/>
    <x v="78"/>
    <x v="68"/>
    <x v="12"/>
    <x v="2"/>
    <x v="4"/>
    <s v="OK"/>
    <b v="1"/>
    <n v="616.63"/>
    <s v="OK"/>
    <b v="1"/>
    <x v="0"/>
    <x v="2"/>
    <n v="3083.15"/>
    <s v="OK"/>
  </r>
  <r>
    <n v="142"/>
    <x v="65"/>
    <x v="65"/>
    <x v="59"/>
    <x v="0"/>
    <x v="0"/>
    <x v="4"/>
    <s v="OK"/>
    <b v="1"/>
    <n v="816"/>
    <s v="OK"/>
    <b v="1"/>
    <x v="2"/>
    <x v="2"/>
    <n v="4080"/>
    <s v="OK"/>
  </r>
  <r>
    <n v="126"/>
    <x v="79"/>
    <x v="79"/>
    <x v="69"/>
    <x v="0"/>
    <x v="0"/>
    <x v="3"/>
    <s v="OK"/>
    <b v="1"/>
    <n v="883"/>
    <s v="OK"/>
    <b v="1"/>
    <x v="1"/>
    <x v="3"/>
    <n v="0"/>
    <s v="OK"/>
  </r>
  <r>
    <n v="170"/>
    <x v="80"/>
    <x v="80"/>
    <x v="70"/>
    <x v="9"/>
    <x v="0"/>
    <x v="4"/>
    <s v="OK"/>
    <b v="1"/>
    <n v="741.63"/>
    <s v="OK"/>
    <b v="1"/>
    <x v="1"/>
    <x v="1"/>
    <n v="3708.15"/>
    <s v="OK"/>
  </r>
  <r>
    <n v="154"/>
    <x v="81"/>
    <x v="81"/>
    <x v="71"/>
    <x v="3"/>
    <x v="2"/>
    <x v="4"/>
    <s v="OK"/>
    <b v="1"/>
    <n v="557"/>
    <s v="OK"/>
    <b v="1"/>
    <x v="3"/>
    <x v="3"/>
    <n v="0"/>
    <s v="OK"/>
  </r>
  <r>
    <n v="195"/>
    <x v="82"/>
    <x v="82"/>
    <x v="72"/>
    <x v="6"/>
    <x v="4"/>
    <x v="4"/>
    <s v="OK"/>
    <b v="1"/>
    <n v="817.46"/>
    <s v="OK"/>
    <b v="1"/>
    <x v="3"/>
    <x v="0"/>
    <n v="0"/>
    <s v="OK"/>
  </r>
  <r>
    <n v="143"/>
    <x v="83"/>
    <x v="83"/>
    <x v="73"/>
    <x v="19"/>
    <x v="0"/>
    <x v="4"/>
    <s v="OK"/>
    <b v="1"/>
    <n v="826.77"/>
    <s v="OK"/>
    <b v="1"/>
    <x v="1"/>
    <x v="3"/>
    <n v="0"/>
    <s v="OK"/>
  </r>
  <r>
    <n v="144"/>
    <x v="84"/>
    <x v="84"/>
    <x v="74"/>
    <x v="17"/>
    <x v="3"/>
    <x v="4"/>
    <s v="OK"/>
    <b v="1"/>
    <n v="849.07"/>
    <s v="OK"/>
    <b v="1"/>
    <x v="1"/>
    <x v="1"/>
    <n v="4245.3500000000004"/>
    <s v="OK"/>
  </r>
  <r>
    <n v="149"/>
    <x v="85"/>
    <x v="85"/>
    <x v="31"/>
    <x v="15"/>
    <x v="4"/>
    <x v="4"/>
    <s v="OK"/>
    <b v="1"/>
    <n v="896.38"/>
    <s v="OK"/>
    <b v="1"/>
    <x v="1"/>
    <x v="3"/>
    <n v="0"/>
    <s v="OK"/>
  </r>
  <r>
    <n v="194"/>
    <x v="86"/>
    <x v="86"/>
    <x v="75"/>
    <x v="12"/>
    <x v="2"/>
    <x v="4"/>
    <s v="OK"/>
    <b v="1"/>
    <n v="944.54"/>
    <s v="OK"/>
    <b v="1"/>
    <x v="3"/>
    <x v="0"/>
    <n v="0"/>
    <s v="OK"/>
  </r>
  <r>
    <n v="117"/>
    <x v="87"/>
    <x v="87"/>
    <x v="76"/>
    <x v="3"/>
    <x v="2"/>
    <x v="2"/>
    <s v="OK"/>
    <b v="1"/>
    <n v="538"/>
    <s v="OK"/>
    <b v="1"/>
    <x v="3"/>
    <x v="1"/>
    <n v="1076"/>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DE8BC3-CDC7-4EE1-96F6-3C7154C38A45}"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Status">
  <location ref="D41:E42" firstHeaderRow="0" firstDataRow="1" firstDataCol="0"/>
  <pivotFields count="18">
    <pivotField showAll="0"/>
    <pivotField dataField="1" showAll="0">
      <items count="89">
        <item x="3"/>
        <item x="13"/>
        <item x="42"/>
        <item x="18"/>
        <item x="12"/>
        <item x="73"/>
        <item x="20"/>
        <item x="31"/>
        <item x="61"/>
        <item x="53"/>
        <item x="76"/>
        <item x="15"/>
        <item x="28"/>
        <item x="39"/>
        <item x="87"/>
        <item x="44"/>
        <item x="54"/>
        <item x="48"/>
        <item x="63"/>
        <item x="38"/>
        <item x="58"/>
        <item x="77"/>
        <item x="79"/>
        <item x="50"/>
        <item x="72"/>
        <item x="74"/>
        <item x="78"/>
        <item x="7"/>
        <item x="51"/>
        <item x="75"/>
        <item x="57"/>
        <item x="23"/>
        <item x="9"/>
        <item x="17"/>
        <item x="45"/>
        <item x="66"/>
        <item x="49"/>
        <item x="65"/>
        <item x="83"/>
        <item x="84"/>
        <item x="52"/>
        <item x="46"/>
        <item x="67"/>
        <item x="22"/>
        <item x="85"/>
        <item x="5"/>
        <item x="21"/>
        <item x="24"/>
        <item x="40"/>
        <item x="81"/>
        <item x="0"/>
        <item x="37"/>
        <item x="34"/>
        <item x="16"/>
        <item x="43"/>
        <item x="30"/>
        <item x="10"/>
        <item x="25"/>
        <item x="32"/>
        <item x="41"/>
        <item x="8"/>
        <item x="19"/>
        <item x="80"/>
        <item x="62"/>
        <item x="60"/>
        <item x="55"/>
        <item x="26"/>
        <item x="2"/>
        <item x="71"/>
        <item x="1"/>
        <item x="47"/>
        <item x="69"/>
        <item x="29"/>
        <item x="6"/>
        <item x="64"/>
        <item x="14"/>
        <item x="36"/>
        <item x="11"/>
        <item x="70"/>
        <item x="68"/>
        <item x="27"/>
        <item x="33"/>
        <item x="56"/>
        <item x="86"/>
        <item x="82"/>
        <item x="4"/>
        <item x="35"/>
        <item x="59"/>
        <item t="default"/>
      </items>
    </pivotField>
    <pivotField dataField="1" showAll="0">
      <items count="93">
        <item x="79"/>
        <item x="58"/>
        <item x="72"/>
        <item x="83"/>
        <item x="35"/>
        <item x="48"/>
        <item x="75"/>
        <item x="26"/>
        <item x="31"/>
        <item x="0"/>
        <item x="23"/>
        <item x="38"/>
        <item x="80"/>
        <item x="12"/>
        <item m="1" x="89"/>
        <item x="77"/>
        <item x="15"/>
        <item x="25"/>
        <item m="1" x="91"/>
        <item x="30"/>
        <item x="10"/>
        <item x="40"/>
        <item m="1" x="88"/>
        <item x="27"/>
        <item x="46"/>
        <item x="57"/>
        <item x="17"/>
        <item x="37"/>
        <item x="34"/>
        <item x="45"/>
        <item x="22"/>
        <item x="33"/>
        <item x="7"/>
        <item x="3"/>
        <item x="70"/>
        <item x="56"/>
        <item x="55"/>
        <item m="1" x="90"/>
        <item x="49"/>
        <item x="60"/>
        <item x="74"/>
        <item x="8"/>
        <item x="6"/>
        <item x="32"/>
        <item x="21"/>
        <item x="2"/>
        <item x="36"/>
        <item x="42"/>
        <item x="68"/>
        <item x="61"/>
        <item x="1"/>
        <item x="20"/>
        <item x="50"/>
        <item x="66"/>
        <item x="14"/>
        <item x="51"/>
        <item x="65"/>
        <item x="86"/>
        <item x="53"/>
        <item x="87"/>
        <item x="39"/>
        <item x="24"/>
        <item x="52"/>
        <item x="19"/>
        <item x="54"/>
        <item x="5"/>
        <item x="28"/>
        <item x="4"/>
        <item x="64"/>
        <item x="63"/>
        <item x="67"/>
        <item x="76"/>
        <item x="82"/>
        <item x="59"/>
        <item x="13"/>
        <item x="29"/>
        <item x="73"/>
        <item x="84"/>
        <item x="47"/>
        <item x="11"/>
        <item x="9"/>
        <item x="78"/>
        <item x="18"/>
        <item x="71"/>
        <item x="85"/>
        <item x="81"/>
        <item x="43"/>
        <item x="44"/>
        <item x="41"/>
        <item x="16"/>
        <item x="69"/>
        <item x="62"/>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6">
        <item x="3"/>
        <item x="4"/>
        <item x="1"/>
        <item x="0"/>
        <item x="2"/>
        <item t="default"/>
      </items>
    </pivotField>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2">
    <i>
      <x/>
    </i>
    <i i="1">
      <x v="1"/>
    </i>
  </colItems>
  <dataFields count="2">
    <dataField name="Count of Order_ID" fld="2" subtotal="count" baseField="0" baseItem="0"/>
    <dataField name="Count of  Customer_Name" fld="1" subtotal="count" baseField="0" baseItem="0"/>
  </dataField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4C9F06-7A1F-45B9-93DA-10D96B1AB149}" name="PivotTable9"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rowHeaderCaption="Date">
  <location ref="J19:K37" firstHeaderRow="1" firstDataRow="1" firstDataCol="1"/>
  <pivotFields count="18">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6">
        <item x="3"/>
        <item x="4"/>
        <item x="1"/>
        <item x="0"/>
        <item x="2"/>
        <item t="default"/>
      </items>
    </pivotField>
    <pivotField dataField="1" showAll="0"/>
    <pivotField showAll="0"/>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2">
    <field x="17"/>
    <field x="3"/>
  </rowFields>
  <rowItems count="18">
    <i>
      <x v="1"/>
    </i>
    <i r="1">
      <x v="1"/>
    </i>
    <i r="1">
      <x v="5"/>
    </i>
    <i>
      <x v="2"/>
    </i>
    <i r="1">
      <x v="11"/>
    </i>
    <i r="1">
      <x v="12"/>
    </i>
    <i>
      <x v="3"/>
    </i>
    <i r="1">
      <x v="1"/>
    </i>
    <i r="1">
      <x v="2"/>
    </i>
    <i r="1">
      <x v="3"/>
    </i>
    <i r="1">
      <x v="4"/>
    </i>
    <i r="1">
      <x v="5"/>
    </i>
    <i r="1">
      <x v="6"/>
    </i>
    <i r="1">
      <x v="7"/>
    </i>
    <i r="1">
      <x v="8"/>
    </i>
    <i r="1">
      <x v="9"/>
    </i>
    <i r="1">
      <x v="10"/>
    </i>
    <i r="1">
      <x v="11"/>
    </i>
  </rowItems>
  <colItems count="1">
    <i/>
  </colItems>
  <dataFields count="1">
    <dataField name="Sum of Total " fld="14"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BED26F-CC3D-4362-BC2C-CD0428CE294D}" name="PivotTable14"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8" rowHeaderCaption="Broduct">
  <location ref="C3:D8" firstHeaderRow="1" firstDataRow="1" firstDataCol="1"/>
  <pivotFields count="18">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measureFilter="1" sortType="ascending">
      <items count="21">
        <item x="13"/>
        <item x="6"/>
        <item x="3"/>
        <item x="15"/>
        <item x="10"/>
        <item x="17"/>
        <item x="2"/>
        <item x="18"/>
        <item x="9"/>
        <item x="12"/>
        <item x="1"/>
        <item x="11"/>
        <item x="14"/>
        <item x="0"/>
        <item x="5"/>
        <item x="16"/>
        <item x="8"/>
        <item x="19"/>
        <item x="7"/>
        <item x="4"/>
        <item t="default"/>
      </items>
      <autoSortScope>
        <pivotArea dataOnly="0" outline="0" fieldPosition="0">
          <references count="1">
            <reference field="4294967294" count="1" selected="0">
              <x v="0"/>
            </reference>
          </references>
        </pivotArea>
      </autoSortScope>
    </pivotField>
    <pivotField showAll="0"/>
    <pivotField showAll="0">
      <items count="7">
        <item m="1" x="5"/>
        <item x="0"/>
        <item x="2"/>
        <item x="1"/>
        <item x="3"/>
        <item x="4"/>
        <item t="default"/>
      </items>
    </pivotField>
    <pivotField showAll="0"/>
    <pivotField showAll="0"/>
    <pivotField showAll="0"/>
    <pivotField showAll="0"/>
    <pivotField showAll="0"/>
    <pivotField showAll="0"/>
    <pivotField showAll="0">
      <items count="6">
        <item x="3"/>
        <item x="4"/>
        <item x="1"/>
        <item x="0"/>
        <item x="2"/>
        <item t="default"/>
      </items>
    </pivotField>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v="3"/>
    </i>
    <i>
      <x/>
    </i>
    <i>
      <x v="8"/>
    </i>
    <i>
      <x v="9"/>
    </i>
    <i>
      <x v="13"/>
    </i>
  </rowItems>
  <colItems count="1">
    <i/>
  </colItems>
  <dataFields count="1">
    <dataField name="Sum of Total " fld="14" baseField="4" baseItem="0" numFmtId="1"/>
  </dataFields>
  <formats count="1">
    <format dxfId="40">
      <pivotArea outline="0" collapsedLevelsAreSubtotals="1" fieldPosition="0"/>
    </format>
  </formats>
  <chartFormats count="3">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4" count="1" selected="0">
            <x v="9"/>
          </reference>
        </references>
      </pivotArea>
    </chartFormat>
    <chartFormat chart="17" format="10">
      <pivotArea type="data" outline="0" fieldPosition="0">
        <references count="2">
          <reference field="4294967294" count="1" selected="0">
            <x v="0"/>
          </reference>
          <reference field="4" count="1" selected="0">
            <x v="13"/>
          </reference>
        </references>
      </pivotArea>
    </chartFormat>
  </chartFormats>
  <pivotTableStyleInfo name="PivotStyleLight10"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92D161-2C7E-49A4-9C62-91F485F728A7}" name="PivotTable4"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5" rowHeaderCaption="Bayment Method ">
  <location ref="A15:B19" firstHeaderRow="1" firstDataRow="1" firstDataCol="1"/>
  <pivotFields count="18">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6">
        <item x="3"/>
        <item x="4"/>
        <item x="1"/>
        <item x="0"/>
        <item x="2"/>
        <item t="default"/>
      </items>
    </pivotField>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v="1"/>
    </i>
    <i>
      <x v="2"/>
    </i>
    <i>
      <x v="3"/>
    </i>
    <i>
      <x/>
    </i>
  </rowItems>
  <colItems count="1">
    <i/>
  </colItems>
  <dataFields count="1">
    <dataField name="Sum of Total " fld="14" baseField="0" baseItem="0" numFmtId="1"/>
  </dataFields>
  <formats count="1">
    <format dxfId="41">
      <pivotArea outline="0" collapsedLevelsAreSubtotals="1" fieldPosition="0"/>
    </format>
  </formats>
  <chartFormats count="2">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2" count="1" selected="0">
            <x v="1"/>
          </reference>
        </references>
      </pivotArea>
    </chartFormat>
  </chart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D4D05C-37E7-46CE-8310-278E2A924799}" name="PivotTable2"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Category">
  <location ref="M3:O8" firstHeaderRow="0" firstDataRow="1" firstDataCol="1"/>
  <pivotFields count="18">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axis="axisRow" showAll="0">
      <items count="6">
        <item x="4"/>
        <item x="0"/>
        <item x="1"/>
        <item x="2"/>
        <item x="3"/>
        <item t="default"/>
      </items>
    </pivotField>
    <pivotField dataField="1" showAll="0"/>
    <pivotField showAll="0"/>
    <pivotField showAll="0"/>
    <pivotField showAll="0"/>
    <pivotField showAll="0"/>
    <pivotField showAll="0"/>
    <pivotField showAll="0"/>
    <pivotField showAll="0">
      <items count="6">
        <item x="3"/>
        <item x="4"/>
        <item x="1"/>
        <item x="0"/>
        <item x="2"/>
        <item t="default"/>
      </items>
    </pivotField>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x v="4"/>
    </i>
  </rowItems>
  <colFields count="1">
    <field x="-2"/>
  </colFields>
  <colItems count="2">
    <i>
      <x/>
    </i>
    <i i="1">
      <x v="1"/>
    </i>
  </colItems>
  <dataFields count="2">
    <dataField name="Sum of Quantity" fld="6" baseField="0" baseItem="0"/>
    <dataField name="Sum of Total " fld="14" baseField="0" baseItem="0" numFmtId="165"/>
  </dataFields>
  <formats count="1">
    <format dxfId="42">
      <pivotArea outline="0" collapsedLevelsAreSubtotals="1" fieldPosition="0">
        <references count="1">
          <reference field="4294967294" count="1" selected="0">
            <x v="1"/>
          </reference>
        </references>
      </pivotArea>
    </format>
  </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32D011-5A41-4008-B404-B07939022F7A}"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Status">
  <location ref="A22:B28" firstHeaderRow="1" firstDataRow="1" firstDataCol="1"/>
  <pivotFields count="18">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axis="axisRow" showAll="0">
      <items count="6">
        <item x="3"/>
        <item x="4"/>
        <item x="1"/>
        <item x="0"/>
        <item x="2"/>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6">
    <i>
      <x/>
    </i>
    <i>
      <x v="1"/>
    </i>
    <i>
      <x v="2"/>
    </i>
    <i>
      <x v="3"/>
    </i>
    <i>
      <x v="4"/>
    </i>
    <i t="grand">
      <x/>
    </i>
  </rowItems>
  <colItems count="1">
    <i/>
  </colItems>
  <dataFields count="1">
    <dataField name="Count of Order_ID" fld="2" subtotal="count" showDataAs="percentOfTotal" baseField="13" baseItem="1" numFmtId="10"/>
  </dataFields>
  <chartFormats count="3">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3" count="1" selected="0">
            <x v="1"/>
          </reference>
        </references>
      </pivotArea>
    </chartFormat>
    <chartFormat chart="7" format="10">
      <pivotArea type="data" outline="0" fieldPosition="0">
        <references count="2">
          <reference field="4294967294" count="1" selected="0">
            <x v="0"/>
          </reference>
          <reference field="13" count="1" selected="0">
            <x v="3"/>
          </reference>
        </references>
      </pivotArea>
    </chartFormat>
  </chart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E853FD-E7DD-4FF1-AD44-5F0C55137814}" name="PivotTable15"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rowHeaderCaption="Product">
  <location ref="M19:N24" firstHeaderRow="1" firstDataRow="1" firstDataCol="1"/>
  <pivotFields count="18">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measureFilter="1" sortType="descending">
      <items count="21">
        <item x="13"/>
        <item x="6"/>
        <item x="3"/>
        <item x="15"/>
        <item x="10"/>
        <item x="17"/>
        <item x="2"/>
        <item x="18"/>
        <item x="9"/>
        <item x="12"/>
        <item x="1"/>
        <item x="11"/>
        <item x="14"/>
        <item x="0"/>
        <item x="5"/>
        <item x="16"/>
        <item x="8"/>
        <item x="19"/>
        <item x="7"/>
        <item x="4"/>
        <item t="default"/>
      </items>
      <autoSortScope>
        <pivotArea dataOnly="0" outline="0" fieldPosition="0">
          <references count="1">
            <reference field="4294967294" count="1" selected="0">
              <x v="0"/>
            </reference>
          </references>
        </pivotArea>
      </autoSortScope>
    </pivotField>
    <pivotField showAll="0"/>
    <pivotField dataField="1" showAll="0">
      <items count="7">
        <item m="1" x="5"/>
        <item x="0"/>
        <item x="2"/>
        <item x="1"/>
        <item x="3"/>
        <item x="4"/>
        <item t="default"/>
      </items>
    </pivotField>
    <pivotField showAll="0"/>
    <pivotField showAll="0"/>
    <pivotField showAll="0"/>
    <pivotField showAll="0"/>
    <pivotField showAll="0"/>
    <pivotField showAll="0"/>
    <pivotField showAll="0">
      <items count="6">
        <item x="3"/>
        <item x="4"/>
        <item x="1"/>
        <item x="0"/>
        <item x="2"/>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v="13"/>
    </i>
    <i>
      <x v="12"/>
    </i>
    <i>
      <x v="2"/>
    </i>
    <i>
      <x v="9"/>
    </i>
    <i>
      <x v="3"/>
    </i>
  </rowItems>
  <colItems count="1">
    <i/>
  </colItems>
  <dataFields count="1">
    <dataField name="Sum of Quantity" fld="6" baseField="0" baseItem="0"/>
  </dataFields>
  <chartFormats count="7">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4" count="1" selected="0">
            <x v="12"/>
          </reference>
        </references>
      </pivotArea>
    </chartFormat>
    <chartFormat chart="8" format="12">
      <pivotArea type="data" outline="0" fieldPosition="0">
        <references count="2">
          <reference field="4294967294" count="1" selected="0">
            <x v="0"/>
          </reference>
          <reference field="4" count="1" selected="0">
            <x v="3"/>
          </reference>
        </references>
      </pivotArea>
    </chartFormat>
    <chartFormat chart="8" format="13">
      <pivotArea type="data" outline="0" fieldPosition="0">
        <references count="2">
          <reference field="4294967294" count="1" selected="0">
            <x v="0"/>
          </reference>
          <reference field="4" count="1" selected="0">
            <x v="16"/>
          </reference>
        </references>
      </pivotArea>
    </chartFormat>
    <chartFormat chart="8" format="14">
      <pivotArea type="data" outline="0" fieldPosition="0">
        <references count="2">
          <reference field="4294967294" count="1" selected="0">
            <x v="0"/>
          </reference>
          <reference field="4" count="1" selected="0">
            <x v="14"/>
          </reference>
        </references>
      </pivotArea>
    </chartFormat>
    <chartFormat chart="8" format="15">
      <pivotArea type="data" outline="0" fieldPosition="0">
        <references count="2">
          <reference field="4294967294" count="1" selected="0">
            <x v="0"/>
          </reference>
          <reference field="4" count="1" selected="0">
            <x v="10"/>
          </reference>
        </references>
      </pivotArea>
    </chartFormat>
    <chartFormat chart="8" format="16">
      <pivotArea type="data" outline="0" fieldPosition="0">
        <references count="2">
          <reference field="4294967294" count="1" selected="0">
            <x v="0"/>
          </reference>
          <reference field="4" count="1" selected="0">
            <x v="0"/>
          </reference>
        </references>
      </pivotArea>
    </chartFormat>
  </chartFormats>
  <pivotTableStyleInfo name="PivotStyleLight3"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91599D-9CE8-4D2B-8B60-7721B9E6C2EB}" name="PivotTable5"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9" rowHeaderCaption="Status">
  <location ref="A32:B37" firstHeaderRow="1" firstDataRow="1" firstDataCol="1"/>
  <pivotFields count="18">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axis="axisRow" showAll="0">
      <items count="6">
        <item x="3"/>
        <item x="4"/>
        <item x="1"/>
        <item x="0"/>
        <item x="2"/>
        <item t="default"/>
      </items>
    </pivotField>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5">
    <i>
      <x/>
    </i>
    <i>
      <x v="1"/>
    </i>
    <i>
      <x v="2"/>
    </i>
    <i>
      <x v="3"/>
    </i>
    <i>
      <x v="4"/>
    </i>
  </rowItems>
  <colItems count="1">
    <i/>
  </colItems>
  <dataFields count="1">
    <dataField name="Sum of Total " fld="14" showDataAs="percentOfTotal" baseField="12" baseItem="1" numFmtId="10"/>
  </dataFields>
  <chartFormats count="6">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13" count="1" selected="0">
            <x v="0"/>
          </reference>
        </references>
      </pivotArea>
    </chartFormat>
    <chartFormat chart="18" format="15">
      <pivotArea type="data" outline="0" fieldPosition="0">
        <references count="2">
          <reference field="4294967294" count="1" selected="0">
            <x v="0"/>
          </reference>
          <reference field="13" count="1" selected="0">
            <x v="1"/>
          </reference>
        </references>
      </pivotArea>
    </chartFormat>
    <chartFormat chart="18" format="16">
      <pivotArea type="data" outline="0" fieldPosition="0">
        <references count="2">
          <reference field="4294967294" count="1" selected="0">
            <x v="0"/>
          </reference>
          <reference field="13" count="1" selected="0">
            <x v="2"/>
          </reference>
        </references>
      </pivotArea>
    </chartFormat>
    <chartFormat chart="18" format="17">
      <pivotArea type="data" outline="0" fieldPosition="0">
        <references count="2">
          <reference field="4294967294" count="1" selected="0">
            <x v="0"/>
          </reference>
          <reference field="13" count="1" selected="0">
            <x v="3"/>
          </reference>
        </references>
      </pivotArea>
    </chartFormat>
    <chartFormat chart="18" format="18">
      <pivotArea type="data" outline="0" fieldPosition="0">
        <references count="2">
          <reference field="4294967294" count="1" selected="0">
            <x v="0"/>
          </reference>
          <reference field="13" count="1" selected="0">
            <x v="4"/>
          </reference>
        </references>
      </pivotArea>
    </chartFormat>
  </chart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D51C6F-D475-4EAB-9C6C-C4E75655187A}"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3:E14" firstHeaderRow="0" firstDataRow="1" firstDataCol="0"/>
  <pivotFields count="18">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showAll="0"/>
    <pivotField showAll="0"/>
    <pivotField showAll="0">
      <items count="6">
        <item x="3"/>
        <item x="4"/>
        <item x="1"/>
        <item x="0"/>
        <item x="2"/>
        <item t="default"/>
      </items>
    </pivotField>
    <pivotField dataField="1" showAll="0"/>
    <pivotField showAll="0"/>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Sum of Total " fld="14" baseField="0" baseItem="1507297658" numFmtId="166"/>
    <dataField name="Count of Order_ID" fld="2" subtotal="count" baseField="0" baseItem="0"/>
    <dataField name="Sum of Quantity" fld="6" baseField="0" baseItem="0"/>
  </dataFields>
  <formats count="1">
    <format dxfId="43">
      <pivotArea outline="0" collapsedLevelsAreSubtotals="1" fieldPosition="0">
        <references count="1">
          <reference field="4294967294" count="1" selected="0">
            <x v="0"/>
          </reference>
        </references>
      </pivotArea>
    </format>
  </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DC49AF-4835-475B-BD7F-DFAC7CBAADD7}" name="PivotTable3"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Bayment Method">
  <location ref="M12:N16" firstHeaderRow="1" firstDataRow="1" firstDataCol="1"/>
  <pivotFields count="18">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items count="6">
        <item x="3"/>
        <item x="4"/>
        <item x="1"/>
        <item x="0"/>
        <item x="2"/>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x v="3"/>
    </i>
  </rowItems>
  <colItems count="1">
    <i/>
  </colItems>
  <dataFields count="1">
    <dataField name="Count of Order_ID" fld="2" subtotal="count" baseField="0" baseItem="0"/>
  </dataField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DFA844-F53A-4275-A9EA-3725141C215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Orders">
  <location ref="A3:B9" firstHeaderRow="1" firstDataRow="1" firstDataCol="1" rowPageCount="1" colPageCount="1"/>
  <pivotFields count="17">
    <pivotField showAll="0"/>
    <pivotField axis="axisRow" showAll="0">
      <items count="93">
        <item x="79"/>
        <item x="58"/>
        <item x="72"/>
        <item m="1" x="89"/>
        <item x="35"/>
        <item x="48"/>
        <item x="75"/>
        <item x="26"/>
        <item x="31"/>
        <item x="0"/>
        <item x="23"/>
        <item x="38"/>
        <item x="80"/>
        <item x="12"/>
        <item m="1" x="85"/>
        <item x="77"/>
        <item x="15"/>
        <item x="25"/>
        <item m="1" x="91"/>
        <item x="30"/>
        <item x="10"/>
        <item x="40"/>
        <item m="1" x="84"/>
        <item x="27"/>
        <item x="46"/>
        <item x="57"/>
        <item x="17"/>
        <item x="34"/>
        <item x="45"/>
        <item x="22"/>
        <item x="33"/>
        <item x="7"/>
        <item x="3"/>
        <item x="70"/>
        <item x="56"/>
        <item x="55"/>
        <item m="1" x="86"/>
        <item x="49"/>
        <item x="60"/>
        <item x="74"/>
        <item x="6"/>
        <item x="32"/>
        <item x="21"/>
        <item x="2"/>
        <item x="36"/>
        <item x="42"/>
        <item x="68"/>
        <item x="61"/>
        <item x="1"/>
        <item x="50"/>
        <item x="66"/>
        <item x="14"/>
        <item x="51"/>
        <item m="1" x="83"/>
        <item x="53"/>
        <item m="1" x="90"/>
        <item x="39"/>
        <item x="24"/>
        <item x="52"/>
        <item x="19"/>
        <item x="54"/>
        <item x="5"/>
        <item x="28"/>
        <item x="4"/>
        <item x="64"/>
        <item x="63"/>
        <item x="67"/>
        <item x="76"/>
        <item x="82"/>
        <item x="59"/>
        <item x="13"/>
        <item x="29"/>
        <item x="73"/>
        <item m="1" x="87"/>
        <item x="47"/>
        <item x="11"/>
        <item x="9"/>
        <item x="78"/>
        <item x="18"/>
        <item x="71"/>
        <item m="1" x="88"/>
        <item x="81"/>
        <item x="43"/>
        <item x="44"/>
        <item x="41"/>
        <item x="16"/>
        <item x="69"/>
        <item x="62"/>
        <item x="8"/>
        <item x="20"/>
        <item x="37"/>
        <item x="65"/>
        <item t="default"/>
      </items>
    </pivotField>
    <pivotField numFmtId="14" showAll="0">
      <items count="15">
        <item x="0"/>
        <item x="1"/>
        <item x="2"/>
        <item x="3"/>
        <item x="4"/>
        <item x="5"/>
        <item x="6"/>
        <item x="7"/>
        <item x="8"/>
        <item x="9"/>
        <item x="10"/>
        <item x="11"/>
        <item x="12"/>
        <item x="13"/>
        <item t="default"/>
      </items>
    </pivotField>
    <pivotField showAll="0"/>
    <pivotField axis="axisRow" showAll="0" sortType="ascending">
      <items count="6">
        <item sd="0" x="4"/>
        <item sd="0" x="0"/>
        <item sd="0" x="1"/>
        <item sd="0" x="2"/>
        <item sd="0"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showAll="0">
      <items count="6">
        <item x="3"/>
        <item x="4"/>
        <item x="1"/>
        <item x="0"/>
        <item x="2"/>
        <item t="default"/>
      </items>
    </pivotField>
    <pivotField dataField="1" showAll="0"/>
    <pivotField showAll="0"/>
    <pivotField showAll="0">
      <items count="7">
        <item sd="0" x="0"/>
        <item sd="0" x="1"/>
        <item sd="0" x="2"/>
        <item sd="0" x="3"/>
        <item sd="0" x="4"/>
        <item x="5"/>
        <item t="default"/>
      </items>
    </pivotField>
    <pivotField showAll="0">
      <items count="6">
        <item sd="0" x="0"/>
        <item sd="0" x="1"/>
        <item sd="0" x="2"/>
        <item sd="0" x="3"/>
        <item x="4"/>
        <item t="default"/>
      </items>
    </pivotField>
  </pivotFields>
  <rowFields count="2">
    <field x="4"/>
    <field x="1"/>
  </rowFields>
  <rowItems count="6">
    <i>
      <x v="2"/>
    </i>
    <i>
      <x/>
    </i>
    <i>
      <x v="3"/>
    </i>
    <i>
      <x v="1"/>
    </i>
    <i>
      <x v="4"/>
    </i>
    <i t="grand">
      <x/>
    </i>
  </rowItems>
  <colItems count="1">
    <i/>
  </colItems>
  <pageFields count="1">
    <pageField fld="12" item="3" hier="-1"/>
  </pageFields>
  <dataFields count="1">
    <dataField name="Sum of Total " fld="13" baseField="0" baseItem="0"/>
  </dataFields>
  <formats count="6">
    <format dxfId="39">
      <pivotArea grandRow="1" outline="0" collapsedLevelsAreSubtotals="1" fieldPosition="0"/>
    </format>
    <format dxfId="38">
      <pivotArea collapsedLevelsAreSubtotals="1" fieldPosition="0">
        <references count="1">
          <reference field="4" count="1">
            <x v="1"/>
          </reference>
        </references>
      </pivotArea>
    </format>
    <format dxfId="37">
      <pivotArea collapsedLevelsAreSubtotals="1" fieldPosition="0">
        <references count="1">
          <reference field="4" count="1">
            <x v="4"/>
          </reference>
        </references>
      </pivotArea>
    </format>
    <format dxfId="36">
      <pivotArea collapsedLevelsAreSubtotals="1" fieldPosition="0">
        <references count="1">
          <reference field="4" count="1">
            <x v="2"/>
          </reference>
        </references>
      </pivotArea>
    </format>
    <format dxfId="35">
      <pivotArea collapsedLevelsAreSubtotals="1" fieldPosition="0">
        <references count="1">
          <reference field="4" count="1">
            <x v="3"/>
          </reference>
        </references>
      </pivotArea>
    </format>
    <format dxfId="34">
      <pivotArea collapsedLevelsAreSubtotals="1" fieldPosition="0">
        <references count="1">
          <reference field="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1550C6-F1F4-4553-A48E-F79A00756F6B}"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Orders">
  <location ref="A3:B9" firstHeaderRow="1" firstDataRow="1" firstDataCol="1" rowPageCount="1" colPageCount="1"/>
  <pivotFields count="18">
    <pivotField showAll="0"/>
    <pivotField showAll="0"/>
    <pivotField axis="axisRow" showAll="0">
      <items count="93">
        <item x="79"/>
        <item x="58"/>
        <item x="72"/>
        <item x="83"/>
        <item x="35"/>
        <item x="48"/>
        <item x="75"/>
        <item x="26"/>
        <item x="31"/>
        <item x="0"/>
        <item x="23"/>
        <item x="38"/>
        <item x="80"/>
        <item x="12"/>
        <item m="1" x="89"/>
        <item x="77"/>
        <item x="15"/>
        <item x="25"/>
        <item m="1" x="91"/>
        <item x="30"/>
        <item x="10"/>
        <item x="40"/>
        <item m="1" x="88"/>
        <item x="27"/>
        <item x="46"/>
        <item x="57"/>
        <item x="17"/>
        <item x="37"/>
        <item x="34"/>
        <item x="45"/>
        <item x="22"/>
        <item x="33"/>
        <item x="7"/>
        <item x="3"/>
        <item x="70"/>
        <item x="56"/>
        <item x="55"/>
        <item m="1" x="90"/>
        <item x="49"/>
        <item x="60"/>
        <item x="74"/>
        <item x="8"/>
        <item x="6"/>
        <item x="32"/>
        <item x="21"/>
        <item x="2"/>
        <item x="36"/>
        <item x="42"/>
        <item x="68"/>
        <item x="61"/>
        <item x="1"/>
        <item x="20"/>
        <item x="50"/>
        <item x="66"/>
        <item x="14"/>
        <item x="51"/>
        <item x="65"/>
        <item x="86"/>
        <item x="53"/>
        <item x="87"/>
        <item x="39"/>
        <item x="24"/>
        <item x="52"/>
        <item x="19"/>
        <item x="54"/>
        <item x="5"/>
        <item x="28"/>
        <item x="4"/>
        <item x="64"/>
        <item x="63"/>
        <item x="67"/>
        <item x="76"/>
        <item x="82"/>
        <item x="59"/>
        <item x="13"/>
        <item x="29"/>
        <item x="73"/>
        <item x="84"/>
        <item x="47"/>
        <item x="11"/>
        <item x="9"/>
        <item x="78"/>
        <item x="18"/>
        <item x="71"/>
        <item x="85"/>
        <item x="81"/>
        <item x="43"/>
        <item x="44"/>
        <item x="41"/>
        <item x="16"/>
        <item x="69"/>
        <item x="62"/>
        <item t="default"/>
      </items>
    </pivotField>
    <pivotField numFmtId="14" showAll="0"/>
    <pivotField showAll="0"/>
    <pivotField axis="axisRow" showAll="0" sortType="ascending">
      <items count="6">
        <item sd="0" x="4"/>
        <item sd="0" x="0"/>
        <item sd="0" x="1"/>
        <item sd="0" x="2"/>
        <item sd="0"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Page" multipleItemSelectionAllowed="1" showAll="0">
      <items count="6">
        <item x="3"/>
        <item x="4"/>
        <item x="1"/>
        <item x="0"/>
        <item x="2"/>
        <item t="default"/>
      </items>
    </pivotField>
    <pivotField dataField="1" showAll="0"/>
    <pivotField showAll="0"/>
    <pivotField showAll="0" defaultSubtotal="0"/>
    <pivotField showAll="0" defaultSubtotal="0"/>
  </pivotFields>
  <rowFields count="2">
    <field x="5"/>
    <field x="2"/>
  </rowFields>
  <rowItems count="6">
    <i>
      <x v="2"/>
    </i>
    <i>
      <x/>
    </i>
    <i>
      <x v="4"/>
    </i>
    <i>
      <x v="3"/>
    </i>
    <i>
      <x v="1"/>
    </i>
    <i t="grand">
      <x/>
    </i>
  </rowItems>
  <colItems count="1">
    <i/>
  </colItems>
  <pageFields count="1">
    <pageField fld="13" hier="-1"/>
  </pageFields>
  <dataFields count="1">
    <dataField name="Sum of Total " fld="14" baseField="0" baseItem="0" numFmtId="1"/>
  </dataFields>
  <formats count="2">
    <format dxfId="33">
      <pivotArea grandRow="1" outline="0" collapsedLevelsAreSubtotals="1" fieldPosition="0"/>
    </format>
    <format dxfId="3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4F9FBF-A1DA-4AB9-A614-B89257C8FEC4}"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Orders">
  <location ref="A3:B9" firstHeaderRow="1" firstDataRow="1" firstDataCol="1" rowPageCount="1" colPageCount="1"/>
  <pivotFields count="18">
    <pivotField showAll="0"/>
    <pivotField showAll="0"/>
    <pivotField axis="axisRow" showAll="0">
      <items count="93">
        <item x="79"/>
        <item x="58"/>
        <item x="72"/>
        <item x="83"/>
        <item x="35"/>
        <item x="48"/>
        <item x="75"/>
        <item x="26"/>
        <item x="31"/>
        <item x="0"/>
        <item x="23"/>
        <item x="38"/>
        <item x="80"/>
        <item x="12"/>
        <item m="1" x="89"/>
        <item x="77"/>
        <item x="15"/>
        <item x="25"/>
        <item m="1" x="91"/>
        <item x="30"/>
        <item x="10"/>
        <item x="40"/>
        <item m="1" x="88"/>
        <item x="27"/>
        <item x="46"/>
        <item x="57"/>
        <item x="17"/>
        <item x="37"/>
        <item x="34"/>
        <item x="45"/>
        <item x="22"/>
        <item x="33"/>
        <item x="7"/>
        <item x="3"/>
        <item x="70"/>
        <item x="56"/>
        <item x="55"/>
        <item m="1" x="90"/>
        <item x="49"/>
        <item x="60"/>
        <item x="74"/>
        <item x="8"/>
        <item x="6"/>
        <item x="32"/>
        <item x="21"/>
        <item x="2"/>
        <item x="36"/>
        <item x="42"/>
        <item x="68"/>
        <item x="61"/>
        <item x="1"/>
        <item x="20"/>
        <item x="50"/>
        <item x="66"/>
        <item x="14"/>
        <item x="51"/>
        <item x="65"/>
        <item x="86"/>
        <item x="53"/>
        <item x="87"/>
        <item x="39"/>
        <item x="24"/>
        <item x="52"/>
        <item x="19"/>
        <item x="54"/>
        <item x="5"/>
        <item x="28"/>
        <item x="4"/>
        <item x="64"/>
        <item x="63"/>
        <item x="67"/>
        <item x="76"/>
        <item x="82"/>
        <item x="59"/>
        <item x="13"/>
        <item x="29"/>
        <item x="73"/>
        <item x="84"/>
        <item x="47"/>
        <item x="11"/>
        <item x="9"/>
        <item x="78"/>
        <item x="18"/>
        <item x="71"/>
        <item x="85"/>
        <item x="81"/>
        <item x="43"/>
        <item x="44"/>
        <item x="41"/>
        <item x="16"/>
        <item x="69"/>
        <item x="62"/>
        <item t="default"/>
      </items>
    </pivotField>
    <pivotField numFmtId="14" showAll="0"/>
    <pivotField showAll="0"/>
    <pivotField axis="axisRow" showAll="0">
      <items count="6">
        <item sd="0" x="4"/>
        <item sd="0" x="0"/>
        <item sd="0" x="1"/>
        <item sd="0" x="2"/>
        <item sd="0" x="3"/>
        <item t="default"/>
      </items>
    </pivotField>
    <pivotField showAll="0"/>
    <pivotField showAll="0"/>
    <pivotField showAll="0"/>
    <pivotField showAll="0"/>
    <pivotField showAll="0"/>
    <pivotField showAll="0"/>
    <pivotField showAll="0"/>
    <pivotField axis="axisPage" showAll="0">
      <items count="6">
        <item x="3"/>
        <item x="4"/>
        <item x="1"/>
        <item x="0"/>
        <item x="2"/>
        <item t="default"/>
      </items>
    </pivotField>
    <pivotField dataField="1" showAll="0"/>
    <pivotField showAll="0"/>
    <pivotField showAll="0" defaultSubtotal="0"/>
    <pivotField showAll="0" defaultSubtotal="0"/>
  </pivotFields>
  <rowFields count="2">
    <field x="5"/>
    <field x="2"/>
  </rowFields>
  <rowItems count="6">
    <i>
      <x/>
    </i>
    <i>
      <x v="1"/>
    </i>
    <i>
      <x v="2"/>
    </i>
    <i>
      <x v="3"/>
    </i>
    <i>
      <x v="4"/>
    </i>
    <i t="grand">
      <x/>
    </i>
  </rowItems>
  <colItems count="1">
    <i/>
  </colItems>
  <pageFields count="1">
    <pageField fld="13" hier="-1"/>
  </pageFields>
  <dataFields count="1">
    <dataField name="Sum of Total " fld="14" baseField="0" baseItem="0"/>
  </dataFields>
  <formats count="1">
    <format dxfId="3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17BB3-9E08-428D-B6EA-0ECAC1F74535}"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Orders">
  <location ref="A3:B9" firstHeaderRow="1" firstDataRow="1" firstDataCol="1" rowPageCount="1" colPageCount="1"/>
  <pivotFields count="18">
    <pivotField showAll="0"/>
    <pivotField showAll="0"/>
    <pivotField axis="axisRow" showAll="0">
      <items count="93">
        <item x="79"/>
        <item x="58"/>
        <item x="72"/>
        <item x="83"/>
        <item x="35"/>
        <item x="48"/>
        <item x="75"/>
        <item x="26"/>
        <item x="31"/>
        <item x="0"/>
        <item x="23"/>
        <item x="38"/>
        <item x="80"/>
        <item x="12"/>
        <item m="1" x="89"/>
        <item x="77"/>
        <item x="15"/>
        <item x="25"/>
        <item m="1" x="91"/>
        <item x="30"/>
        <item x="10"/>
        <item x="40"/>
        <item m="1" x="88"/>
        <item x="27"/>
        <item x="46"/>
        <item x="57"/>
        <item x="17"/>
        <item x="37"/>
        <item x="34"/>
        <item x="45"/>
        <item x="22"/>
        <item x="33"/>
        <item x="7"/>
        <item x="3"/>
        <item x="70"/>
        <item x="56"/>
        <item x="55"/>
        <item m="1" x="90"/>
        <item x="49"/>
        <item x="60"/>
        <item x="74"/>
        <item x="8"/>
        <item x="6"/>
        <item x="32"/>
        <item x="21"/>
        <item x="2"/>
        <item x="36"/>
        <item x="42"/>
        <item x="68"/>
        <item x="61"/>
        <item x="1"/>
        <item x="20"/>
        <item x="50"/>
        <item x="66"/>
        <item x="14"/>
        <item x="51"/>
        <item x="65"/>
        <item x="86"/>
        <item x="53"/>
        <item x="87"/>
        <item x="39"/>
        <item x="24"/>
        <item x="52"/>
        <item x="19"/>
        <item x="54"/>
        <item x="5"/>
        <item x="28"/>
        <item x="4"/>
        <item x="64"/>
        <item x="63"/>
        <item x="67"/>
        <item x="76"/>
        <item x="82"/>
        <item x="59"/>
        <item x="13"/>
        <item x="29"/>
        <item x="73"/>
        <item x="84"/>
        <item x="47"/>
        <item x="11"/>
        <item x="9"/>
        <item x="78"/>
        <item x="18"/>
        <item x="71"/>
        <item x="85"/>
        <item x="81"/>
        <item x="43"/>
        <item x="44"/>
        <item x="41"/>
        <item x="16"/>
        <item x="69"/>
        <item x="62"/>
        <item t="default"/>
      </items>
    </pivotField>
    <pivotField numFmtId="14" showAll="0"/>
    <pivotField showAll="0"/>
    <pivotField axis="axisRow" showAll="0">
      <items count="6">
        <item sd="0" x="4"/>
        <item sd="0" x="0"/>
        <item sd="0" x="1"/>
        <item sd="0" x="2"/>
        <item sd="0" x="3"/>
        <item t="default"/>
      </items>
    </pivotField>
    <pivotField showAll="0"/>
    <pivotField showAll="0"/>
    <pivotField showAll="0"/>
    <pivotField showAll="0"/>
    <pivotField showAll="0"/>
    <pivotField showAll="0"/>
    <pivotField showAll="0"/>
    <pivotField axis="axisPage" showAll="0">
      <items count="6">
        <item x="3"/>
        <item x="4"/>
        <item x="1"/>
        <item x="0"/>
        <item x="2"/>
        <item t="default"/>
      </items>
    </pivotField>
    <pivotField dataField="1" showAll="0"/>
    <pivotField showAll="0"/>
    <pivotField showAll="0" defaultSubtotal="0"/>
    <pivotField showAll="0" defaultSubtotal="0"/>
  </pivotFields>
  <rowFields count="2">
    <field x="5"/>
    <field x="2"/>
  </rowFields>
  <rowItems count="6">
    <i>
      <x/>
    </i>
    <i>
      <x v="1"/>
    </i>
    <i>
      <x v="2"/>
    </i>
    <i>
      <x v="3"/>
    </i>
    <i>
      <x v="4"/>
    </i>
    <i t="grand">
      <x/>
    </i>
  </rowItems>
  <colItems count="1">
    <i/>
  </colItems>
  <pageFields count="1">
    <pageField fld="13" hier="-1"/>
  </pageFields>
  <dataFields count="1">
    <dataField name="Sum of Total " fld="14" baseField="0" baseItem="0"/>
  </dataFields>
  <formats count="1">
    <format dxfId="3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BE852A-6EEF-4DB6-A544-98F9B4017C36}"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Orders">
  <location ref="A3:B9" firstHeaderRow="1" firstDataRow="1" firstDataCol="1" rowPageCount="1" colPageCount="1"/>
  <pivotFields count="18">
    <pivotField showAll="0"/>
    <pivotField showAll="0"/>
    <pivotField axis="axisRow" showAll="0">
      <items count="93">
        <item x="79"/>
        <item x="58"/>
        <item x="72"/>
        <item x="83"/>
        <item x="35"/>
        <item x="48"/>
        <item x="75"/>
        <item x="26"/>
        <item x="31"/>
        <item x="0"/>
        <item x="23"/>
        <item x="38"/>
        <item x="80"/>
        <item x="12"/>
        <item m="1" x="89"/>
        <item x="77"/>
        <item x="15"/>
        <item x="25"/>
        <item m="1" x="91"/>
        <item x="30"/>
        <item x="10"/>
        <item x="40"/>
        <item m="1" x="88"/>
        <item x="27"/>
        <item x="46"/>
        <item x="57"/>
        <item x="17"/>
        <item x="37"/>
        <item x="34"/>
        <item x="45"/>
        <item x="22"/>
        <item x="33"/>
        <item x="7"/>
        <item x="3"/>
        <item x="70"/>
        <item x="56"/>
        <item x="55"/>
        <item m="1" x="90"/>
        <item x="49"/>
        <item x="60"/>
        <item x="74"/>
        <item x="8"/>
        <item x="6"/>
        <item x="32"/>
        <item x="21"/>
        <item x="2"/>
        <item x="36"/>
        <item x="42"/>
        <item x="68"/>
        <item x="61"/>
        <item x="1"/>
        <item x="20"/>
        <item x="50"/>
        <item x="66"/>
        <item x="14"/>
        <item x="51"/>
        <item x="65"/>
        <item x="86"/>
        <item x="53"/>
        <item x="87"/>
        <item x="39"/>
        <item x="24"/>
        <item x="52"/>
        <item x="19"/>
        <item x="54"/>
        <item x="5"/>
        <item x="28"/>
        <item x="4"/>
        <item x="64"/>
        <item x="63"/>
        <item x="67"/>
        <item x="76"/>
        <item x="82"/>
        <item x="59"/>
        <item x="13"/>
        <item x="29"/>
        <item x="73"/>
        <item x="84"/>
        <item x="47"/>
        <item x="11"/>
        <item x="9"/>
        <item x="78"/>
        <item x="18"/>
        <item x="71"/>
        <item x="85"/>
        <item x="81"/>
        <item x="43"/>
        <item x="44"/>
        <item x="41"/>
        <item x="16"/>
        <item x="69"/>
        <item x="62"/>
        <item t="default"/>
      </items>
    </pivotField>
    <pivotField numFmtId="14" showAll="0"/>
    <pivotField showAll="0"/>
    <pivotField axis="axisRow" showAll="0">
      <items count="6">
        <item sd="0" x="4"/>
        <item sd="0" x="0"/>
        <item sd="0" x="1"/>
        <item sd="0" x="2"/>
        <item sd="0" x="3"/>
        <item t="default"/>
      </items>
    </pivotField>
    <pivotField showAll="0"/>
    <pivotField showAll="0"/>
    <pivotField showAll="0"/>
    <pivotField showAll="0"/>
    <pivotField showAll="0"/>
    <pivotField showAll="0"/>
    <pivotField showAll="0"/>
    <pivotField axis="axisPage" showAll="0">
      <items count="6">
        <item x="3"/>
        <item x="4"/>
        <item x="1"/>
        <item x="0"/>
        <item x="2"/>
        <item t="default"/>
      </items>
    </pivotField>
    <pivotField dataField="1" showAll="0"/>
    <pivotField showAll="0"/>
    <pivotField showAll="0" defaultSubtotal="0"/>
    <pivotField showAll="0" defaultSubtotal="0"/>
  </pivotFields>
  <rowFields count="2">
    <field x="5"/>
    <field x="2"/>
  </rowFields>
  <rowItems count="6">
    <i>
      <x/>
    </i>
    <i>
      <x v="1"/>
    </i>
    <i>
      <x v="2"/>
    </i>
    <i>
      <x v="3"/>
    </i>
    <i>
      <x v="4"/>
    </i>
    <i t="grand">
      <x/>
    </i>
  </rowItems>
  <colItems count="1">
    <i/>
  </colItems>
  <pageFields count="1">
    <pageField fld="13" hier="-1"/>
  </pageFields>
  <dataFields count="1">
    <dataField name="Sum of Total " fld="14" baseField="0" baseItem="0"/>
  </dataFields>
  <formats count="1">
    <format dxfId="2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3AF05016-E704-4E30-B61B-FA30A9D205A9}" sourceName="Quantity">
  <pivotTables>
    <pivotTable tabId="5" name="PivotTable15"/>
    <pivotTable tabId="5" name="PivotTable14"/>
  </pivotTables>
  <data>
    <tabular pivotCacheId="1524299435">
      <items count="6">
        <i x="0" s="1"/>
        <i x="2" s="1"/>
        <i x="1" s="1"/>
        <i x="3"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A557260B-3D57-4415-9E23-74F187A8199D}" sourceName="Order_Date">
  <pivotTables>
    <pivotTable tabId="5" name="PivotTable5"/>
  </pivotTables>
  <data>
    <tabular pivotCacheId="1524299435">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F2CF01A-D706-487E-98A6-55A1073E7259}" sourceName="Payment_Method">
  <pivotTables>
    <pivotTable tabId="5" name="PivotTable4"/>
  </pivotTables>
  <data>
    <tabular pivotCacheId="1524299435">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3927CBA-FEC1-4523-9FBE-FC94429FC827}" sourceName="Status">
  <pivotTables>
    <pivotTable tabId="5" name="PivotTable8"/>
    <pivotTable tabId="10" name="PivotTable1"/>
    <pivotTable tabId="11" name="PivotTable2"/>
    <pivotTable tabId="12" name="PivotTable3"/>
    <pivotTable tabId="13" name="PivotTable4"/>
    <pivotTable tabId="5" name="PivotTable14"/>
    <pivotTable tabId="5" name="PivotTable15"/>
    <pivotTable tabId="5" name="PivotTable2"/>
    <pivotTable tabId="5" name="PivotTable3"/>
    <pivotTable tabId="5" name="PivotTable4"/>
    <pivotTable tabId="5" name="PivotTable5"/>
    <pivotTable tabId="5" name="PivotTable7"/>
    <pivotTable tabId="5" name="PivotTable9"/>
    <pivotTable tabId="5" name="PivotTable1"/>
  </pivotTables>
  <data>
    <tabular pivotCacheId="1524299435">
      <items count="5">
        <i x="3" s="1"/>
        <i x="4"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ntity" xr10:uid="{BE0D8447-B0BD-45E2-9AA7-670BC8CCF3D2}" cache="Slicer_Quantity" caption="Quantity" columnCount="3" rowHeight="304800"/>
  <slicer name="Order_Date" xr10:uid="{53D39203-86FC-4DA9-ADE2-D3E6E8287B8B}" cache="Slicer_Order_Date" caption="Order_Date" rowHeight="304800"/>
  <slicer name="Payment_Method" xr10:uid="{A15CFEE6-82CC-4FFB-AA9A-ECEDBABDE4E0}" cache="Slicer_Payment_Method" caption="Payment_Method" rowHeight="447675"/>
  <slicer name="Status" xr10:uid="{5F8DAE21-2C1B-4E68-87C7-541ABED9E075}" cache="Slicer_Status" caption="Status" rowHeight="4476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CE72D2-ED11-4EEF-83C5-CD9C45C97110}" name="Table1" displayName="Table1" ref="A1:P89" totalsRowShown="0" headerRowBorderDxfId="28" tableBorderDxfId="27" totalsRowBorderDxfId="26">
  <autoFilter ref="A1:P89" xr:uid="{02507D60-EC32-4BC4-A227-B4C59AD8FBEB}"/>
  <sortState ref="A2:P89">
    <sortCondition ref="O1:O89"/>
  </sortState>
  <tableColumns count="16">
    <tableColumn id="1" xr3:uid="{F6B44DFF-5B7B-4BE7-83D0-13776ADB5B36}" name="ID" dataDxfId="25"/>
    <tableColumn id="2" xr3:uid="{7EFBC011-DDD6-45E1-8B3E-5E1181D70CC0}" name=" Customer_Name" dataDxfId="24"/>
    <tableColumn id="3" xr3:uid="{CEE73FE2-33DA-4C1C-BB51-4CC801D5E2E0}" name="Order_ID" dataDxfId="23"/>
    <tableColumn id="4" xr3:uid="{3E230C74-ECF9-4313-A9E2-3C4B9EE8B7DE}" name="Order_Date" dataDxfId="22"/>
    <tableColumn id="5" xr3:uid="{EFDEDCE7-D26C-4BFA-A9E7-B9C1ABC2A3B8}" name="Product" dataDxfId="21"/>
    <tableColumn id="6" xr3:uid="{FC18B56B-AA92-4BA0-8B8C-DCDD3806910F}" name=" Category" dataDxfId="20">
      <calculatedColumnFormula>VLOOKUP(E2,Mapping!$A$1:$B$20,2,FALSE)</calculatedColumnFormula>
    </tableColumn>
    <tableColumn id="7" xr3:uid="{41D8D752-0EE8-4A9F-90A3-FE75743C59AB}" name="Quantity" dataDxfId="19"/>
    <tableColumn id="8" xr3:uid="{AFD48B05-71B9-40DE-9093-7697F482CF2B}" name="Quality Check" dataDxfId="18">
      <calculatedColumnFormula>IF(AND(G2&lt;0,G2&lt;&gt;$N$4),"ERORR","OK")</calculatedColumnFormula>
    </tableColumn>
    <tableColumn id="9" xr3:uid="{FD7E684F-97FE-4739-8E86-4F2FEF71B94E}" name="Quantity_Check2" dataDxfId="17">
      <calculatedColumnFormula>ISNUMBER(G2)</calculatedColumnFormula>
    </tableColumn>
    <tableColumn id="10" xr3:uid="{26E99EC8-8D84-4DDC-BBC7-EB61257C7E2F}" name="Price" dataDxfId="16"/>
    <tableColumn id="21" xr3:uid="{62CA48AA-FC8C-4472-874A-D0964F20CED6}" name="Price Check 1" dataDxfId="15">
      <calculatedColumnFormula>IF(OR(Table1[[#This Row],[Price]]&gt;$S$20,Table1[[#This Row],[Price]]&lt;$T$19),"Outlier","OK")</calculatedColumnFormula>
    </tableColumn>
    <tableColumn id="11" xr3:uid="{321D002A-6E2F-478A-A7B6-889F5466019B}" name="Price Check 2" dataDxfId="14">
      <calculatedColumnFormula>ISNUMBER(J2)</calculatedColumnFormula>
    </tableColumn>
    <tableColumn id="12" xr3:uid="{1EB0C6AC-5F9A-4685-A719-176D0B2BEDA8}" name="Payment_Method" dataDxfId="13"/>
    <tableColumn id="13" xr3:uid="{BF6F2BD4-4C9E-4823-9834-89A605B35AA6}" name="Status" dataDxfId="12"/>
    <tableColumn id="14" xr3:uid="{19A3D431-7C84-4943-8F51-8659C1FA39B1}" name="Total " dataDxfId="11">
      <calculatedColumnFormula>Table1[[#This Row],[Price]]*Table1[[#This Row],[Quantity]]</calculatedColumnFormula>
    </tableColumn>
    <tableColumn id="15" xr3:uid="{D3EDDCDD-A629-409E-A524-5169CA572255}" name="Total_Check" dataDxfId="10">
      <calculatedColumnFormula>IF(AND(O2&lt;0,O2&lt;&gt;N18),"ERORR","OK")</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F9C4-7B14-4F83-85D6-9BE112D1DD4D}">
  <sheetPr>
    <tabColor theme="4" tint="0.59999389629810485"/>
  </sheetPr>
  <dimension ref="A2:T42"/>
  <sheetViews>
    <sheetView workbookViewId="0">
      <selection activeCell="D41" sqref="D41:E42"/>
    </sheetView>
  </sheetViews>
  <sheetFormatPr defaultRowHeight="15"/>
  <cols>
    <col min="1" max="1" width="19.28515625" bestFit="1" customWidth="1"/>
    <col min="2" max="2" width="17.28515625" bestFit="1" customWidth="1"/>
    <col min="3" max="3" width="12.42578125" bestFit="1" customWidth="1"/>
    <col min="4" max="4" width="17.28515625" bestFit="1" customWidth="1"/>
    <col min="5" max="5" width="24.7109375" bestFit="1" customWidth="1"/>
    <col min="6" max="6" width="12.42578125" bestFit="1" customWidth="1"/>
    <col min="7" max="7" width="15.42578125" bestFit="1" customWidth="1"/>
    <col min="8" max="8" width="13.140625" bestFit="1" customWidth="1"/>
    <col min="9" max="9" width="15.42578125" bestFit="1" customWidth="1"/>
    <col min="10" max="10" width="8.42578125" bestFit="1" customWidth="1"/>
    <col min="11" max="11" width="12.42578125" bestFit="1" customWidth="1"/>
    <col min="13" max="13" width="18.85546875" bestFit="1" customWidth="1"/>
    <col min="14" max="14" width="17.28515625" bestFit="1" customWidth="1"/>
    <col min="15" max="15" width="12.42578125" bestFit="1" customWidth="1"/>
  </cols>
  <sheetData>
    <row r="2" spans="1:20">
      <c r="C2" s="64" t="s">
        <v>271</v>
      </c>
      <c r="D2" s="64"/>
      <c r="E2" s="37"/>
      <c r="F2" s="37"/>
      <c r="G2" s="37"/>
      <c r="H2" s="37"/>
      <c r="I2" s="37"/>
      <c r="J2" s="37"/>
      <c r="K2" s="37"/>
      <c r="L2" s="37"/>
      <c r="M2" s="59" t="s">
        <v>282</v>
      </c>
      <c r="N2" s="59"/>
      <c r="O2" s="59"/>
      <c r="P2" s="37"/>
      <c r="Q2" s="37"/>
      <c r="R2" s="37"/>
      <c r="S2" s="37"/>
      <c r="T2" s="37"/>
    </row>
    <row r="3" spans="1:20" ht="15" customHeight="1">
      <c r="C3" s="37" t="s">
        <v>270</v>
      </c>
      <c r="D3" t="s">
        <v>258</v>
      </c>
      <c r="E3" s="61" t="s">
        <v>254</v>
      </c>
      <c r="F3" s="63" t="str">
        <f>"Top Selling Product = "&amp;INDEX(C3:C8,MATCH(MAX(D3:D8),D3:D8,0))</f>
        <v>Top Selling Product = shoes</v>
      </c>
      <c r="G3" s="63"/>
      <c r="H3" s="63"/>
      <c r="I3" s="43"/>
      <c r="J3" s="43"/>
      <c r="K3" s="37"/>
      <c r="L3" s="37"/>
      <c r="M3" s="37" t="s">
        <v>281</v>
      </c>
      <c r="N3" t="s">
        <v>257</v>
      </c>
      <c r="O3" t="s">
        <v>258</v>
      </c>
      <c r="P3" s="37"/>
      <c r="Q3" s="37"/>
      <c r="R3" s="37"/>
      <c r="S3" s="37"/>
      <c r="T3" s="37"/>
    </row>
    <row r="4" spans="1:20" ht="15" customHeight="1">
      <c r="C4" s="38" t="s">
        <v>56</v>
      </c>
      <c r="D4" s="56">
        <v>6629.68</v>
      </c>
      <c r="E4" s="61"/>
      <c r="F4" s="63"/>
      <c r="G4" s="63"/>
      <c r="H4" s="63"/>
      <c r="I4" s="43"/>
      <c r="J4" s="43"/>
      <c r="K4" s="37"/>
      <c r="L4" s="37"/>
      <c r="M4" s="38" t="s">
        <v>32</v>
      </c>
      <c r="N4" s="39">
        <v>74</v>
      </c>
      <c r="O4" s="29">
        <v>13156.47</v>
      </c>
      <c r="P4" s="60" t="s">
        <v>254</v>
      </c>
      <c r="Q4" s="62" t="str">
        <f>"Top Selling Category = "&amp;INDEX(M4:M8,MATCH(MAX(O4:O8),O4:O8,0))</f>
        <v>Top Selling Category = Clothings</v>
      </c>
      <c r="R4" s="62"/>
      <c r="S4" s="62"/>
      <c r="T4" s="37"/>
    </row>
    <row r="5" spans="1:20">
      <c r="C5" s="38" t="s">
        <v>52</v>
      </c>
      <c r="D5" s="56">
        <v>6666.48</v>
      </c>
      <c r="E5" s="42"/>
      <c r="F5" s="43"/>
      <c r="G5" s="43"/>
      <c r="H5" s="43"/>
      <c r="M5" s="38" t="s">
        <v>250</v>
      </c>
      <c r="N5" s="39">
        <v>57</v>
      </c>
      <c r="O5" s="29">
        <v>32475.08</v>
      </c>
      <c r="P5" s="61"/>
      <c r="Q5" s="63"/>
      <c r="R5" s="63"/>
      <c r="S5" s="63"/>
    </row>
    <row r="6" spans="1:20" ht="15" customHeight="1">
      <c r="C6" s="38" t="s">
        <v>165</v>
      </c>
      <c r="D6" s="56">
        <v>6674.67</v>
      </c>
      <c r="G6" s="44"/>
      <c r="H6" s="44"/>
      <c r="M6" s="38" t="s">
        <v>20</v>
      </c>
      <c r="N6" s="39">
        <v>25</v>
      </c>
      <c r="O6" s="29">
        <v>4587.1499999999996</v>
      </c>
    </row>
    <row r="7" spans="1:20">
      <c r="C7" s="38" t="s">
        <v>99</v>
      </c>
      <c r="D7" s="56">
        <v>8069.73</v>
      </c>
      <c r="G7" s="44"/>
      <c r="H7" s="44"/>
      <c r="M7" s="38" t="s">
        <v>14</v>
      </c>
      <c r="N7" s="39">
        <v>69</v>
      </c>
      <c r="O7" s="29">
        <v>21416.280000000002</v>
      </c>
    </row>
    <row r="8" spans="1:20">
      <c r="C8" s="38" t="s">
        <v>162</v>
      </c>
      <c r="D8" s="56">
        <v>18219</v>
      </c>
      <c r="G8" s="45"/>
      <c r="H8" s="45"/>
      <c r="M8" s="38" t="s">
        <v>27</v>
      </c>
      <c r="N8" s="39">
        <v>52</v>
      </c>
      <c r="O8" s="29">
        <v>16130.890000000001</v>
      </c>
    </row>
    <row r="9" spans="1:20">
      <c r="I9" s="37"/>
      <c r="J9" s="37"/>
      <c r="K9" s="37"/>
      <c r="L9" s="37"/>
      <c r="M9" s="37"/>
      <c r="N9" s="37"/>
      <c r="O9" s="37"/>
      <c r="P9" s="37"/>
      <c r="Q9" s="37"/>
      <c r="R9" s="37"/>
      <c r="S9" s="37"/>
      <c r="T9" s="37"/>
    </row>
    <row r="11" spans="1:20">
      <c r="M11" s="59" t="s">
        <v>278</v>
      </c>
      <c r="N11" s="59"/>
    </row>
    <row r="12" spans="1:20" ht="15" customHeight="1">
      <c r="M12" s="37" t="s">
        <v>277</v>
      </c>
      <c r="N12" t="s">
        <v>256</v>
      </c>
      <c r="O12" s="61" t="s">
        <v>254</v>
      </c>
      <c r="P12" s="63" t="str">
        <f>"Most Used Payment Method = "&amp;INDEX(M13:M16,MATCH(MAX(N13:N16),N13:N16,0))</f>
        <v>Most Used Payment Method = Cash on Delivery</v>
      </c>
      <c r="Q12" s="63"/>
      <c r="R12" s="63"/>
      <c r="S12" s="63"/>
      <c r="T12" s="63"/>
    </row>
    <row r="13" spans="1:20">
      <c r="C13" t="s">
        <v>258</v>
      </c>
      <c r="D13" t="s">
        <v>256</v>
      </c>
      <c r="E13" t="s">
        <v>257</v>
      </c>
      <c r="F13" s="61" t="s">
        <v>254</v>
      </c>
      <c r="G13" s="65" t="str">
        <f>"AOV = "&amp;ROUND(GETPIVOTDATA("Sum of Total ",$C$13)/GETPIVOTDATA("Count of Order_ID",$C$13),2)</f>
        <v>AOV = 964.46</v>
      </c>
      <c r="H13" s="65"/>
      <c r="M13" s="38" t="s">
        <v>41</v>
      </c>
      <c r="N13" s="39">
        <v>20</v>
      </c>
      <c r="O13" s="61"/>
      <c r="P13" s="63"/>
      <c r="Q13" s="63"/>
      <c r="R13" s="63"/>
      <c r="S13" s="63"/>
      <c r="T13" s="63"/>
    </row>
    <row r="14" spans="1:20">
      <c r="A14" s="59" t="s">
        <v>273</v>
      </c>
      <c r="B14" s="59"/>
      <c r="C14" s="49">
        <v>87765.869999999981</v>
      </c>
      <c r="D14" s="39">
        <v>91</v>
      </c>
      <c r="E14" s="39">
        <v>277</v>
      </c>
      <c r="F14" s="61"/>
      <c r="G14" s="65"/>
      <c r="H14" s="65"/>
      <c r="M14" s="38" t="s">
        <v>15</v>
      </c>
      <c r="N14" s="39">
        <v>30</v>
      </c>
    </row>
    <row r="15" spans="1:20">
      <c r="A15" s="37" t="s">
        <v>272</v>
      </c>
      <c r="B15" t="s">
        <v>258</v>
      </c>
      <c r="C15" s="37"/>
      <c r="D15" s="37"/>
      <c r="E15" s="37"/>
      <c r="F15" s="37"/>
      <c r="G15" s="37"/>
      <c r="H15" s="37"/>
      <c r="I15" s="37"/>
      <c r="J15" s="37"/>
      <c r="K15" s="37"/>
      <c r="L15" s="37"/>
      <c r="M15" s="38" t="s">
        <v>49</v>
      </c>
      <c r="N15" s="39">
        <v>21</v>
      </c>
      <c r="O15" s="37"/>
      <c r="P15" s="37"/>
      <c r="Q15" s="37"/>
      <c r="R15" s="37"/>
      <c r="S15" s="37"/>
      <c r="T15" s="37"/>
    </row>
    <row r="16" spans="1:20" ht="15" customHeight="1">
      <c r="A16" s="38" t="s">
        <v>15</v>
      </c>
      <c r="B16" s="56">
        <v>20640.580000000002</v>
      </c>
      <c r="C16" s="61" t="s">
        <v>254</v>
      </c>
      <c r="D16" s="63" t="str">
        <f>"Top Revenue by Bayment Method = "&amp;INDEX(A16:A19,MATCH(MAX(B16:B19),B16:B19,0))</f>
        <v>Top Revenue by Bayment Method = Bank Transfer</v>
      </c>
      <c r="E16" s="63"/>
      <c r="F16" s="63"/>
      <c r="G16" s="63"/>
      <c r="H16" s="63"/>
      <c r="M16" s="38" t="s">
        <v>22</v>
      </c>
      <c r="N16" s="39">
        <v>20</v>
      </c>
    </row>
    <row r="17" spans="1:19">
      <c r="A17" s="38" t="s">
        <v>49</v>
      </c>
      <c r="B17" s="56">
        <v>20877.39</v>
      </c>
      <c r="C17" s="61"/>
      <c r="D17" s="63"/>
      <c r="E17" s="63"/>
      <c r="F17" s="63"/>
      <c r="G17" s="63"/>
      <c r="H17" s="63"/>
    </row>
    <row r="18" spans="1:19">
      <c r="A18" s="38" t="s">
        <v>22</v>
      </c>
      <c r="B18" s="56">
        <v>23122.740000000005</v>
      </c>
      <c r="J18" s="59" t="s">
        <v>280</v>
      </c>
      <c r="K18" s="59"/>
      <c r="M18" s="59" t="s">
        <v>276</v>
      </c>
      <c r="N18" s="59"/>
    </row>
    <row r="19" spans="1:19">
      <c r="A19" s="38" t="s">
        <v>41</v>
      </c>
      <c r="B19" s="56">
        <v>23125.160000000003</v>
      </c>
      <c r="J19" s="37" t="s">
        <v>279</v>
      </c>
      <c r="K19" t="s">
        <v>258</v>
      </c>
      <c r="M19" s="37" t="s">
        <v>4</v>
      </c>
      <c r="N19" t="s">
        <v>257</v>
      </c>
      <c r="O19" s="61" t="s">
        <v>254</v>
      </c>
      <c r="P19" s="65" t="str">
        <f>"Highiest Quantity Product = "&amp;INDEX(M20:M24,MATCH(MAX(N20:N24),N20:N24,))</f>
        <v>Highiest Quantity Product = shoes</v>
      </c>
      <c r="Q19" s="65"/>
      <c r="R19" s="65"/>
      <c r="S19" s="65"/>
    </row>
    <row r="20" spans="1:19">
      <c r="J20" s="38" t="s">
        <v>284</v>
      </c>
      <c r="K20" s="39">
        <v>1532.04</v>
      </c>
      <c r="M20" s="38" t="s">
        <v>162</v>
      </c>
      <c r="N20" s="39">
        <v>28</v>
      </c>
      <c r="O20" s="61"/>
      <c r="P20" s="65"/>
      <c r="Q20" s="65"/>
      <c r="R20" s="65"/>
      <c r="S20" s="65"/>
    </row>
    <row r="21" spans="1:19">
      <c r="A21" s="59" t="s">
        <v>274</v>
      </c>
      <c r="B21" s="59"/>
      <c r="J21" s="41" t="s">
        <v>285</v>
      </c>
      <c r="K21" s="39">
        <v>1532.04</v>
      </c>
      <c r="L21" s="37"/>
      <c r="M21" s="38" t="s">
        <v>31</v>
      </c>
      <c r="N21" s="39">
        <v>24</v>
      </c>
    </row>
    <row r="22" spans="1:19">
      <c r="A22" s="37" t="s">
        <v>9</v>
      </c>
      <c r="B22" t="s">
        <v>256</v>
      </c>
      <c r="J22" s="41" t="s">
        <v>286</v>
      </c>
      <c r="K22" s="39">
        <v>0</v>
      </c>
      <c r="M22" s="38" t="s">
        <v>13</v>
      </c>
      <c r="N22" s="39">
        <v>23</v>
      </c>
    </row>
    <row r="23" spans="1:19">
      <c r="A23" s="38" t="s">
        <v>38</v>
      </c>
      <c r="B23" s="40">
        <v>0.15384615384615385</v>
      </c>
      <c r="J23" s="38" t="s">
        <v>287</v>
      </c>
      <c r="K23" s="39">
        <v>15011.61</v>
      </c>
      <c r="M23" s="38" t="s">
        <v>99</v>
      </c>
      <c r="N23" s="39">
        <v>23</v>
      </c>
    </row>
    <row r="24" spans="1:19">
      <c r="A24" s="38" t="s">
        <v>28</v>
      </c>
      <c r="B24" s="40">
        <v>0.10989010989010989</v>
      </c>
      <c r="J24" s="41" t="s">
        <v>288</v>
      </c>
      <c r="K24" s="39">
        <v>7820.32</v>
      </c>
      <c r="M24" s="38" t="s">
        <v>56</v>
      </c>
      <c r="N24" s="39">
        <v>20</v>
      </c>
    </row>
    <row r="25" spans="1:19">
      <c r="A25" s="38" t="s">
        <v>23</v>
      </c>
      <c r="B25" s="40">
        <v>0.24175824175824176</v>
      </c>
      <c r="J25" s="41" t="s">
        <v>289</v>
      </c>
      <c r="K25" s="39">
        <v>7191.29</v>
      </c>
    </row>
    <row r="26" spans="1:19">
      <c r="A26" s="38" t="s">
        <v>44</v>
      </c>
      <c r="B26" s="40">
        <v>0.26373626373626374</v>
      </c>
      <c r="J26" s="38" t="s">
        <v>259</v>
      </c>
      <c r="K26" s="39">
        <v>71222.22</v>
      </c>
    </row>
    <row r="27" spans="1:19">
      <c r="A27" s="38" t="s">
        <v>16</v>
      </c>
      <c r="B27" s="40">
        <v>0.23076923076923078</v>
      </c>
      <c r="J27" s="41" t="s">
        <v>285</v>
      </c>
      <c r="K27" s="39">
        <v>7090.35</v>
      </c>
    </row>
    <row r="28" spans="1:19">
      <c r="A28" s="38" t="s">
        <v>261</v>
      </c>
      <c r="B28" s="40">
        <v>1</v>
      </c>
      <c r="G28" s="37"/>
      <c r="H28" s="37"/>
      <c r="I28" s="37"/>
      <c r="J28" s="41" t="s">
        <v>290</v>
      </c>
      <c r="K28" s="39">
        <v>9401.57</v>
      </c>
      <c r="L28" s="37"/>
    </row>
    <row r="29" spans="1:19">
      <c r="J29" s="41" t="s">
        <v>260</v>
      </c>
      <c r="K29" s="39">
        <v>5470.36</v>
      </c>
      <c r="L29" s="37"/>
    </row>
    <row r="30" spans="1:19">
      <c r="J30" s="41" t="s">
        <v>291</v>
      </c>
      <c r="K30" s="39">
        <v>1200.28</v>
      </c>
    </row>
    <row r="31" spans="1:19">
      <c r="A31" s="59" t="s">
        <v>275</v>
      </c>
      <c r="B31" s="59"/>
      <c r="J31" s="41" t="s">
        <v>286</v>
      </c>
      <c r="K31" s="39">
        <v>5579.26</v>
      </c>
    </row>
    <row r="32" spans="1:19">
      <c r="A32" s="37" t="s">
        <v>9</v>
      </c>
      <c r="B32" t="s">
        <v>258</v>
      </c>
      <c r="J32" s="41" t="s">
        <v>292</v>
      </c>
      <c r="K32" s="39">
        <v>4700.2299999999996</v>
      </c>
    </row>
    <row r="33" spans="1:11">
      <c r="A33" s="38" t="s">
        <v>38</v>
      </c>
      <c r="B33" s="40">
        <v>0</v>
      </c>
      <c r="J33" s="41" t="s">
        <v>293</v>
      </c>
      <c r="K33" s="39">
        <v>10538.27</v>
      </c>
    </row>
    <row r="34" spans="1:11">
      <c r="A34" s="38" t="s">
        <v>28</v>
      </c>
      <c r="B34" s="40">
        <v>0.18161376398365334</v>
      </c>
      <c r="J34" s="41" t="s">
        <v>294</v>
      </c>
      <c r="K34" s="39">
        <v>3335.06</v>
      </c>
    </row>
    <row r="35" spans="1:11">
      <c r="A35" s="38" t="s">
        <v>23</v>
      </c>
      <c r="B35" s="40">
        <v>0.35873853925221733</v>
      </c>
      <c r="J35" s="41" t="s">
        <v>295</v>
      </c>
      <c r="K35" s="39">
        <v>2606.0099999999998</v>
      </c>
    </row>
    <row r="36" spans="1:11">
      <c r="A36" s="38" t="s">
        <v>44</v>
      </c>
      <c r="B36" s="40">
        <v>0</v>
      </c>
      <c r="J36" s="41" t="s">
        <v>296</v>
      </c>
      <c r="K36" s="39">
        <v>20200.43</v>
      </c>
    </row>
    <row r="37" spans="1:11">
      <c r="A37" s="38" t="s">
        <v>16</v>
      </c>
      <c r="B37" s="40">
        <v>0.45964769676412937</v>
      </c>
      <c r="J37" s="41" t="s">
        <v>288</v>
      </c>
      <c r="K37" s="39">
        <v>1100.4000000000001</v>
      </c>
    </row>
    <row r="41" spans="1:11">
      <c r="D41" t="s">
        <v>256</v>
      </c>
      <c r="E41" t="s">
        <v>297</v>
      </c>
      <c r="F41" s="37"/>
      <c r="G41" s="37"/>
      <c r="H41" s="37"/>
      <c r="I41" s="37"/>
      <c r="J41" s="37"/>
      <c r="K41" s="37"/>
    </row>
    <row r="42" spans="1:11">
      <c r="D42" s="39">
        <v>91</v>
      </c>
      <c r="E42" s="39">
        <v>91</v>
      </c>
    </row>
  </sheetData>
  <mergeCells count="20">
    <mergeCell ref="A31:B31"/>
    <mergeCell ref="M18:N18"/>
    <mergeCell ref="M11:N11"/>
    <mergeCell ref="J18:K18"/>
    <mergeCell ref="P12:T13"/>
    <mergeCell ref="O12:O13"/>
    <mergeCell ref="O19:O20"/>
    <mergeCell ref="P19:S20"/>
    <mergeCell ref="G13:H14"/>
    <mergeCell ref="A14:B14"/>
    <mergeCell ref="C16:C17"/>
    <mergeCell ref="D16:H17"/>
    <mergeCell ref="F13:F14"/>
    <mergeCell ref="M2:O2"/>
    <mergeCell ref="P4:P5"/>
    <mergeCell ref="Q4:S5"/>
    <mergeCell ref="F3:H4"/>
    <mergeCell ref="A21:B21"/>
    <mergeCell ref="C2:D2"/>
    <mergeCell ref="E3: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45175-C327-431C-BD97-8E5DDD6A51CD}">
  <sheetPr>
    <tabColor rgb="FFFF0000"/>
  </sheetPr>
  <dimension ref="A1"/>
  <sheetViews>
    <sheetView showGridLines="0" tabSelected="1" zoomScale="40" zoomScaleNormal="40" workbookViewId="0">
      <selection activeCell="BU54" sqref="BU54"/>
    </sheetView>
  </sheetViews>
  <sheetFormatPr defaultRowHeight="15"/>
  <cols>
    <col min="1" max="23" width="9.140625" style="57"/>
    <col min="24" max="24" width="9.140625" style="57" customWidth="1"/>
    <col min="25" max="28" width="9.140625" style="57"/>
    <col min="29" max="29" width="9.140625" style="57" customWidth="1"/>
    <col min="30" max="16384" width="9.140625" style="5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EA76-DE88-4E67-81F1-C90A3F5FE310}">
  <sheetPr>
    <tabColor rgb="FF69F3C8"/>
  </sheetPr>
  <dimension ref="A1:B9"/>
  <sheetViews>
    <sheetView workbookViewId="0">
      <selection activeCell="G5" sqref="G5"/>
    </sheetView>
  </sheetViews>
  <sheetFormatPr defaultRowHeight="15"/>
  <cols>
    <col min="1" max="2" width="12.42578125" bestFit="1" customWidth="1"/>
    <col min="3" max="3" width="15.42578125" bestFit="1" customWidth="1"/>
  </cols>
  <sheetData>
    <row r="1" spans="1:2">
      <c r="A1" s="37" t="s">
        <v>9</v>
      </c>
      <c r="B1" t="s">
        <v>44</v>
      </c>
    </row>
    <row r="3" spans="1:2">
      <c r="A3" s="37" t="s">
        <v>262</v>
      </c>
      <c r="B3" t="s">
        <v>258</v>
      </c>
    </row>
    <row r="4" spans="1:2">
      <c r="A4" s="38" t="s">
        <v>20</v>
      </c>
      <c r="B4" s="56">
        <v>0</v>
      </c>
    </row>
    <row r="5" spans="1:2">
      <c r="A5" s="38" t="s">
        <v>32</v>
      </c>
      <c r="B5" s="56">
        <v>0</v>
      </c>
    </row>
    <row r="6" spans="1:2">
      <c r="A6" s="38" t="s">
        <v>14</v>
      </c>
      <c r="B6" s="56">
        <v>0</v>
      </c>
    </row>
    <row r="7" spans="1:2">
      <c r="A7" s="38" t="s">
        <v>250</v>
      </c>
      <c r="B7" s="56">
        <v>0</v>
      </c>
    </row>
    <row r="8" spans="1:2">
      <c r="A8" s="38" t="s">
        <v>27</v>
      </c>
      <c r="B8" s="56">
        <v>0</v>
      </c>
    </row>
    <row r="9" spans="1:2">
      <c r="A9" s="38" t="s">
        <v>261</v>
      </c>
      <c r="B9" s="49">
        <v>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46AC-9989-4D22-B5B1-4F306114F969}">
  <sheetPr>
    <tabColor rgb="FF21FAFF"/>
  </sheetPr>
  <dimension ref="A1:B9"/>
  <sheetViews>
    <sheetView workbookViewId="0">
      <selection activeCell="E16" sqref="E16"/>
    </sheetView>
  </sheetViews>
  <sheetFormatPr defaultRowHeight="15"/>
  <cols>
    <col min="1" max="2" width="12.42578125" bestFit="1" customWidth="1"/>
  </cols>
  <sheetData>
    <row r="1" spans="1:2">
      <c r="A1" s="37" t="s">
        <v>9</v>
      </c>
      <c r="B1" t="s">
        <v>283</v>
      </c>
    </row>
    <row r="3" spans="1:2">
      <c r="A3" s="37" t="s">
        <v>262</v>
      </c>
      <c r="B3" t="s">
        <v>258</v>
      </c>
    </row>
    <row r="4" spans="1:2">
      <c r="A4" s="38" t="s">
        <v>20</v>
      </c>
      <c r="B4" s="56">
        <v>4587.1499999999996</v>
      </c>
    </row>
    <row r="5" spans="1:2">
      <c r="A5" s="38" t="s">
        <v>32</v>
      </c>
      <c r="B5" s="56">
        <v>13156.47</v>
      </c>
    </row>
    <row r="6" spans="1:2">
      <c r="A6" s="38" t="s">
        <v>27</v>
      </c>
      <c r="B6" s="56">
        <v>16130.890000000001</v>
      </c>
    </row>
    <row r="7" spans="1:2">
      <c r="A7" s="38" t="s">
        <v>14</v>
      </c>
      <c r="B7" s="56">
        <v>21416.280000000002</v>
      </c>
    </row>
    <row r="8" spans="1:2">
      <c r="A8" s="38" t="s">
        <v>250</v>
      </c>
      <c r="B8" s="56">
        <v>32475.08</v>
      </c>
    </row>
    <row r="9" spans="1:2">
      <c r="A9" s="38" t="s">
        <v>261</v>
      </c>
      <c r="B9" s="56">
        <v>87765.87000000001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7EE83-7158-4BF5-875C-FFB5CB18B41E}">
  <sheetPr>
    <tabColor rgb="FFFFC000"/>
  </sheetPr>
  <dimension ref="A1:B9"/>
  <sheetViews>
    <sheetView workbookViewId="0">
      <selection activeCell="B6" sqref="B6"/>
    </sheetView>
  </sheetViews>
  <sheetFormatPr defaultRowHeight="15"/>
  <cols>
    <col min="1" max="2" width="12.42578125" bestFit="1" customWidth="1"/>
    <col min="3" max="3" width="13.5703125" bestFit="1" customWidth="1"/>
  </cols>
  <sheetData>
    <row r="1" spans="1:2">
      <c r="A1" s="37" t="s">
        <v>9</v>
      </c>
      <c r="B1" t="s">
        <v>283</v>
      </c>
    </row>
    <row r="3" spans="1:2">
      <c r="A3" s="37" t="s">
        <v>262</v>
      </c>
      <c r="B3" t="s">
        <v>258</v>
      </c>
    </row>
    <row r="4" spans="1:2">
      <c r="A4" s="38" t="s">
        <v>32</v>
      </c>
      <c r="B4" s="39">
        <v>13156.47</v>
      </c>
    </row>
    <row r="5" spans="1:2">
      <c r="A5" s="38" t="s">
        <v>250</v>
      </c>
      <c r="B5" s="39">
        <v>32475.08</v>
      </c>
    </row>
    <row r="6" spans="1:2">
      <c r="A6" s="38" t="s">
        <v>20</v>
      </c>
      <c r="B6" s="39">
        <v>4587.1499999999996</v>
      </c>
    </row>
    <row r="7" spans="1:2">
      <c r="A7" s="38" t="s">
        <v>14</v>
      </c>
      <c r="B7" s="39">
        <v>21416.280000000002</v>
      </c>
    </row>
    <row r="8" spans="1:2">
      <c r="A8" s="38" t="s">
        <v>27</v>
      </c>
      <c r="B8" s="39">
        <v>16130.890000000001</v>
      </c>
    </row>
    <row r="9" spans="1:2">
      <c r="A9" s="38" t="s">
        <v>261</v>
      </c>
      <c r="B9" s="49">
        <v>87765.87000000001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C8DAC-7255-447A-AF91-DC566C7A8170}">
  <sheetPr>
    <tabColor rgb="FF92D050"/>
  </sheetPr>
  <dimension ref="A1:B9"/>
  <sheetViews>
    <sheetView workbookViewId="0">
      <selection activeCell="H38" sqref="H38"/>
    </sheetView>
  </sheetViews>
  <sheetFormatPr defaultRowHeight="15"/>
  <cols>
    <col min="1" max="2" width="12.42578125" bestFit="1" customWidth="1"/>
  </cols>
  <sheetData>
    <row r="1" spans="1:2">
      <c r="A1" s="37" t="s">
        <v>9</v>
      </c>
      <c r="B1" t="s">
        <v>283</v>
      </c>
    </row>
    <row r="3" spans="1:2">
      <c r="A3" s="37" t="s">
        <v>262</v>
      </c>
      <c r="B3" t="s">
        <v>258</v>
      </c>
    </row>
    <row r="4" spans="1:2">
      <c r="A4" s="38" t="s">
        <v>32</v>
      </c>
      <c r="B4" s="39">
        <v>13156.47</v>
      </c>
    </row>
    <row r="5" spans="1:2">
      <c r="A5" s="38" t="s">
        <v>250</v>
      </c>
      <c r="B5" s="39">
        <v>32475.08</v>
      </c>
    </row>
    <row r="6" spans="1:2">
      <c r="A6" s="38" t="s">
        <v>20</v>
      </c>
      <c r="B6" s="39">
        <v>4587.1499999999996</v>
      </c>
    </row>
    <row r="7" spans="1:2">
      <c r="A7" s="38" t="s">
        <v>14</v>
      </c>
      <c r="B7" s="39">
        <v>21416.280000000002</v>
      </c>
    </row>
    <row r="8" spans="1:2">
      <c r="A8" s="38" t="s">
        <v>27</v>
      </c>
      <c r="B8" s="39">
        <v>16130.890000000001</v>
      </c>
    </row>
    <row r="9" spans="1:2">
      <c r="A9" s="38" t="s">
        <v>261</v>
      </c>
      <c r="B9" s="49">
        <v>87765.87000000001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4111-E343-4CCA-B943-E59250359A0B}">
  <sheetPr>
    <tabColor rgb="FFFFFF00"/>
  </sheetPr>
  <dimension ref="A1:B9"/>
  <sheetViews>
    <sheetView workbookViewId="0">
      <selection activeCell="B7" sqref="B7"/>
    </sheetView>
  </sheetViews>
  <sheetFormatPr defaultRowHeight="15"/>
  <cols>
    <col min="1" max="2" width="12.42578125" bestFit="1" customWidth="1"/>
  </cols>
  <sheetData>
    <row r="1" spans="1:2">
      <c r="A1" s="37" t="s">
        <v>9</v>
      </c>
      <c r="B1" t="s">
        <v>283</v>
      </c>
    </row>
    <row r="3" spans="1:2">
      <c r="A3" s="37" t="s">
        <v>262</v>
      </c>
      <c r="B3" t="s">
        <v>258</v>
      </c>
    </row>
    <row r="4" spans="1:2">
      <c r="A4" s="38" t="s">
        <v>32</v>
      </c>
      <c r="B4" s="39">
        <v>13156.47</v>
      </c>
    </row>
    <row r="5" spans="1:2">
      <c r="A5" s="38" t="s">
        <v>250</v>
      </c>
      <c r="B5" s="39">
        <v>32475.08</v>
      </c>
    </row>
    <row r="6" spans="1:2">
      <c r="A6" s="38" t="s">
        <v>20</v>
      </c>
      <c r="B6" s="39">
        <v>4587.1499999999996</v>
      </c>
    </row>
    <row r="7" spans="1:2">
      <c r="A7" s="38" t="s">
        <v>14</v>
      </c>
      <c r="B7" s="39">
        <v>21416.280000000002</v>
      </c>
    </row>
    <row r="8" spans="1:2">
      <c r="A8" s="38" t="s">
        <v>27</v>
      </c>
      <c r="B8" s="39">
        <v>16130.890000000001</v>
      </c>
    </row>
    <row r="9" spans="1:2">
      <c r="A9" s="38" t="s">
        <v>261</v>
      </c>
      <c r="B9" s="49">
        <v>87765.87000000001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9"/>
  <sheetViews>
    <sheetView topLeftCell="E1" zoomScale="85" zoomScaleNormal="85" workbookViewId="0">
      <selection activeCell="R16" sqref="R16:T20"/>
    </sheetView>
  </sheetViews>
  <sheetFormatPr defaultColWidth="19" defaultRowHeight="15"/>
  <cols>
    <col min="1" max="3" width="19" style="19"/>
    <col min="4" max="4" width="19" style="20"/>
    <col min="5" max="16" width="19" style="19"/>
    <col min="17" max="18" width="8.42578125" style="19" customWidth="1"/>
    <col min="19" max="19" width="38" style="19" bestFit="1" customWidth="1"/>
    <col min="20" max="16384" width="19" style="19"/>
  </cols>
  <sheetData>
    <row r="1" spans="1:20" customFormat="1">
      <c r="A1" s="23" t="s">
        <v>0</v>
      </c>
      <c r="B1" s="24" t="s">
        <v>1</v>
      </c>
      <c r="C1" s="24" t="s">
        <v>2</v>
      </c>
      <c r="D1" s="25" t="s">
        <v>3</v>
      </c>
      <c r="E1" s="24" t="s">
        <v>4</v>
      </c>
      <c r="F1" s="24" t="s">
        <v>5</v>
      </c>
      <c r="G1" s="26" t="s">
        <v>6</v>
      </c>
      <c r="H1" s="26" t="s">
        <v>251</v>
      </c>
      <c r="I1" s="26" t="s">
        <v>252</v>
      </c>
      <c r="J1" s="27" t="s">
        <v>7</v>
      </c>
      <c r="K1" s="52" t="s">
        <v>268</v>
      </c>
      <c r="L1" s="52" t="s">
        <v>269</v>
      </c>
      <c r="M1" s="24" t="s">
        <v>8</v>
      </c>
      <c r="N1" s="24" t="s">
        <v>9</v>
      </c>
      <c r="O1" s="31" t="s">
        <v>255</v>
      </c>
      <c r="P1" s="12" t="s">
        <v>253</v>
      </c>
    </row>
    <row r="2" spans="1:20" customFormat="1">
      <c r="A2" s="21">
        <v>155</v>
      </c>
      <c r="B2" s="1" t="s">
        <v>160</v>
      </c>
      <c r="C2" s="1" t="s">
        <v>161</v>
      </c>
      <c r="D2" s="2">
        <v>45778</v>
      </c>
      <c r="E2" s="1" t="s">
        <v>162</v>
      </c>
      <c r="F2" s="1" t="str">
        <f>VLOOKUP(E2,Mapping!$A$1:$B$20,2,FALSE)</f>
        <v>Clothings</v>
      </c>
      <c r="G2" s="4">
        <v>1</v>
      </c>
      <c r="H2" s="4" t="str">
        <f t="shared" ref="H2:H32" si="0">IF(AND(G2&lt;0,G2&lt;&gt;$N$4),"ERORR","OK")</f>
        <v>OK</v>
      </c>
      <c r="I2" s="4" t="b">
        <f t="shared" ref="I2:I32" si="1">ISNUMBER(G2)</f>
        <v>1</v>
      </c>
      <c r="J2" s="50">
        <v>523</v>
      </c>
      <c r="K2" s="50" t="str">
        <f>IF(OR(Table1[[#This Row],[Price]]&gt;$S$20,Table1[[#This Row],[Price]]&lt;$T$19),"Outlier","OK")</f>
        <v>OK</v>
      </c>
      <c r="L2" s="5" t="b">
        <f t="shared" ref="L2:L32" si="2">ISNUMBER(J2)</f>
        <v>1</v>
      </c>
      <c r="M2" s="1" t="s">
        <v>22</v>
      </c>
      <c r="N2" s="1" t="s">
        <v>44</v>
      </c>
      <c r="O2" s="14">
        <v>0</v>
      </c>
      <c r="P2" s="14" t="str">
        <f>IF(AND(O2&lt;0,O2&lt;&gt;N17),"ERORR","OK")</f>
        <v>OK</v>
      </c>
    </row>
    <row r="3" spans="1:20" customFormat="1">
      <c r="A3" s="21">
        <v>177</v>
      </c>
      <c r="B3" s="1" t="s">
        <v>206</v>
      </c>
      <c r="C3" s="1" t="s">
        <v>207</v>
      </c>
      <c r="D3" s="2">
        <v>45866</v>
      </c>
      <c r="E3" s="1" t="s">
        <v>140</v>
      </c>
      <c r="F3" s="1" t="str">
        <f>VLOOKUP(E3,Mapping!$A$1:$B$20,2,FALSE)</f>
        <v>Electronics</v>
      </c>
      <c r="G3" s="4">
        <v>1</v>
      </c>
      <c r="H3" s="4" t="str">
        <f t="shared" si="0"/>
        <v>OK</v>
      </c>
      <c r="I3" s="4" t="b">
        <f t="shared" si="1"/>
        <v>1</v>
      </c>
      <c r="J3" s="50">
        <f>MEDIAN(J26:J79)</f>
        <v>569.19000000000005</v>
      </c>
      <c r="K3" s="50" t="str">
        <f>IF(OR(Table1[[#This Row],[Price]]&gt;$S$20,Table1[[#This Row],[Price]]&lt;$T$19),"Outlier","OK")</f>
        <v>OK</v>
      </c>
      <c r="L3" s="5" t="b">
        <f t="shared" si="2"/>
        <v>1</v>
      </c>
      <c r="M3" s="1" t="s">
        <v>41</v>
      </c>
      <c r="N3" s="1" t="s">
        <v>44</v>
      </c>
      <c r="O3" s="14">
        <v>0</v>
      </c>
      <c r="P3" s="14" t="str">
        <f>IF(AND(O3&lt;0,O3&lt;&gt;N18),"ERORR","OK")</f>
        <v>OK</v>
      </c>
    </row>
    <row r="4" spans="1:20" customFormat="1">
      <c r="A4" s="21">
        <v>175</v>
      </c>
      <c r="B4" s="1" t="s">
        <v>202</v>
      </c>
      <c r="C4" s="1" t="s">
        <v>203</v>
      </c>
      <c r="D4" s="2">
        <v>45712</v>
      </c>
      <c r="E4" s="1" t="s">
        <v>120</v>
      </c>
      <c r="F4" s="1" t="str">
        <f>VLOOKUP(E4,Mapping!$A$1:$B$20,2,FALSE)</f>
        <v>Electronics</v>
      </c>
      <c r="G4" s="4">
        <v>1</v>
      </c>
      <c r="H4" s="4" t="str">
        <f t="shared" si="0"/>
        <v>OK</v>
      </c>
      <c r="I4" s="4" t="b">
        <f t="shared" si="1"/>
        <v>1</v>
      </c>
      <c r="J4" s="50">
        <v>111.36</v>
      </c>
      <c r="K4" s="50" t="str">
        <f>IF(OR(Table1[[#This Row],[Price]]&gt;$S$20,Table1[[#This Row],[Price]]&lt;$T$19),"Outlier","OK")</f>
        <v>OK</v>
      </c>
      <c r="L4" s="5" t="b">
        <f t="shared" si="2"/>
        <v>1</v>
      </c>
      <c r="M4" s="1" t="s">
        <v>49</v>
      </c>
      <c r="N4" s="1" t="s">
        <v>23</v>
      </c>
      <c r="O4" s="14">
        <f>Table1[[#This Row],[Price]]*Table1[[#This Row],[Quantity]]</f>
        <v>111.36</v>
      </c>
      <c r="P4" s="14" t="str">
        <f>IF(AND(O4&lt;0,O4&lt;&gt;N19),"ERORR","OK")</f>
        <v>OK</v>
      </c>
    </row>
    <row r="5" spans="1:20" customFormat="1" ht="15" customHeight="1">
      <c r="A5" s="21">
        <v>100</v>
      </c>
      <c r="B5" s="1" t="s">
        <v>11</v>
      </c>
      <c r="C5" s="1" t="s">
        <v>12</v>
      </c>
      <c r="D5" s="2">
        <v>45618</v>
      </c>
      <c r="E5" s="1" t="s">
        <v>13</v>
      </c>
      <c r="F5" s="1" t="str">
        <f>VLOOKUP(E5,Mapping!$A$1:$B$20,2,FALSE)</f>
        <v>Home</v>
      </c>
      <c r="G5" s="4">
        <v>3</v>
      </c>
      <c r="H5" s="4" t="str">
        <f t="shared" si="0"/>
        <v>OK</v>
      </c>
      <c r="I5" s="4" t="b">
        <f t="shared" si="1"/>
        <v>1</v>
      </c>
      <c r="J5" s="50">
        <v>438</v>
      </c>
      <c r="K5" s="50" t="str">
        <f>IF(OR(Table1[[#This Row],[Price]]&gt;$S$20,Table1[[#This Row],[Price]]&lt;$T$19),"Outlier","OK")</f>
        <v>OK</v>
      </c>
      <c r="L5" s="5" t="b">
        <f t="shared" si="2"/>
        <v>1</v>
      </c>
      <c r="M5" s="1" t="s">
        <v>15</v>
      </c>
      <c r="N5" s="1" t="s">
        <v>16</v>
      </c>
      <c r="O5" s="14">
        <f>Table1[[#This Row],[Price]]*Table1[[#This Row],[Quantity]]</f>
        <v>1314</v>
      </c>
      <c r="P5" s="14" t="str">
        <f>IF(AND(O5&lt;0,O5&lt;&gt;N20),"ERORR","OK")</f>
        <v>OK</v>
      </c>
      <c r="S5" s="58"/>
    </row>
    <row r="6" spans="1:20" customFormat="1" ht="15" customHeight="1">
      <c r="A6" s="21">
        <v>197</v>
      </c>
      <c r="B6" s="1" t="s">
        <v>244</v>
      </c>
      <c r="C6" s="1" t="s">
        <v>245</v>
      </c>
      <c r="D6" s="2">
        <v>45831</v>
      </c>
      <c r="E6" s="1" t="s">
        <v>13</v>
      </c>
      <c r="F6" s="1" t="str">
        <f>VLOOKUP(E6,Mapping!$A$1:$B$20,2,FALSE)</f>
        <v>Home</v>
      </c>
      <c r="G6" s="4">
        <v>1</v>
      </c>
      <c r="H6" s="4" t="str">
        <f t="shared" si="0"/>
        <v>OK</v>
      </c>
      <c r="I6" s="4" t="b">
        <f t="shared" si="1"/>
        <v>1</v>
      </c>
      <c r="J6" s="50">
        <v>545</v>
      </c>
      <c r="K6" s="50" t="str">
        <f>IF(OR(Table1[[#This Row],[Price]]&gt;$S$20,Table1[[#This Row],[Price]]&lt;$T$19),"Outlier","OK")</f>
        <v>OK</v>
      </c>
      <c r="L6" s="5" t="b">
        <f t="shared" si="2"/>
        <v>1</v>
      </c>
      <c r="M6" s="1" t="s">
        <v>22</v>
      </c>
      <c r="N6" s="1" t="s">
        <v>38</v>
      </c>
      <c r="O6" s="14">
        <v>0</v>
      </c>
      <c r="P6" s="14" t="str">
        <f>IF(AND(O6&lt;0,O6&lt;&gt;N22),"ERORR","OK")</f>
        <v>OK</v>
      </c>
      <c r="S6" s="30" t="str">
        <f>"Total Revenue = "&amp;SUM(Table1[[Total ]])</f>
        <v>Total Revenue = 82032.115</v>
      </c>
      <c r="T6" s="29"/>
    </row>
    <row r="7" spans="1:20" customFormat="1">
      <c r="A7" s="21">
        <v>150</v>
      </c>
      <c r="B7" s="1" t="s">
        <v>150</v>
      </c>
      <c r="C7" s="1" t="s">
        <v>151</v>
      </c>
      <c r="D7" s="2">
        <v>45623</v>
      </c>
      <c r="E7" s="1" t="s">
        <v>80</v>
      </c>
      <c r="F7" s="1" t="str">
        <f>VLOOKUP(E7,Mapping!$A$1:$B$20,2,FALSE)</f>
        <v>Sports</v>
      </c>
      <c r="G7" s="4">
        <v>1</v>
      </c>
      <c r="H7" s="4" t="str">
        <f t="shared" si="0"/>
        <v>OK</v>
      </c>
      <c r="I7" s="4" t="b">
        <f t="shared" si="1"/>
        <v>1</v>
      </c>
      <c r="J7" s="50">
        <v>206.19</v>
      </c>
      <c r="K7" s="50" t="str">
        <f>IF(OR(Table1[[#This Row],[Price]]&gt;$S$20,Table1[[#This Row],[Price]]&lt;$T$19),"Outlier","OK")</f>
        <v>OK</v>
      </c>
      <c r="L7" s="5" t="b">
        <f t="shared" si="2"/>
        <v>1</v>
      </c>
      <c r="M7" s="1" t="s">
        <v>49</v>
      </c>
      <c r="N7" s="1" t="s">
        <v>44</v>
      </c>
      <c r="O7" s="14">
        <v>0</v>
      </c>
      <c r="P7" s="14" t="str">
        <f>IF(AND(O7&lt;0,O7&lt;&gt;N22),"ERORR","OK")</f>
        <v>OK</v>
      </c>
      <c r="S7" s="32" t="str">
        <f>"Total Order = "&amp;COUNTA(Table1[Order_ID])</f>
        <v>Total Order = 88</v>
      </c>
    </row>
    <row r="8" spans="1:20" customFormat="1">
      <c r="A8" s="21">
        <v>181</v>
      </c>
      <c r="B8" s="1" t="s">
        <v>214</v>
      </c>
      <c r="C8" s="1" t="s">
        <v>215</v>
      </c>
      <c r="D8" s="2">
        <v>45655</v>
      </c>
      <c r="E8" s="1" t="s">
        <v>19</v>
      </c>
      <c r="F8" s="1" t="str">
        <f>VLOOKUP(E8,Mapping!$A$1:$B$20,2,FALSE)</f>
        <v>Electronics</v>
      </c>
      <c r="G8" s="4">
        <v>1</v>
      </c>
      <c r="H8" s="4" t="str">
        <f t="shared" si="0"/>
        <v>OK</v>
      </c>
      <c r="I8" s="4" t="b">
        <f t="shared" si="1"/>
        <v>1</v>
      </c>
      <c r="J8" s="50">
        <v>266.48</v>
      </c>
      <c r="K8" s="50" t="str">
        <f>IF(OR(Table1[[#This Row],[Price]]&gt;$S$20,Table1[[#This Row],[Price]]&lt;$T$19),"Outlier","OK")</f>
        <v>OK</v>
      </c>
      <c r="L8" s="5" t="b">
        <f t="shared" si="2"/>
        <v>1</v>
      </c>
      <c r="M8" s="1" t="s">
        <v>15</v>
      </c>
      <c r="N8" s="1" t="s">
        <v>38</v>
      </c>
      <c r="O8" s="14">
        <v>0</v>
      </c>
      <c r="P8" s="14" t="str">
        <f>IF(AND(O8&lt;0,O8&lt;&gt;N23),"ERORR","OK")</f>
        <v>OK</v>
      </c>
      <c r="S8" s="28" t="str">
        <f>"(AOV) = "&amp;SUM(O:O)/COUNTA(D:D)</f>
        <v>(AOV) = 921.709157303371</v>
      </c>
    </row>
    <row r="9" spans="1:20" customFormat="1">
      <c r="A9" s="21">
        <v>132</v>
      </c>
      <c r="B9" s="1" t="s">
        <v>107</v>
      </c>
      <c r="C9" s="1" t="s">
        <v>108</v>
      </c>
      <c r="D9" s="2">
        <v>45749</v>
      </c>
      <c r="E9" s="1" t="s">
        <v>80</v>
      </c>
      <c r="F9" s="1" t="str">
        <f>VLOOKUP(E9,Mapping!$A$1:$B$20,2,FALSE)</f>
        <v>Sports</v>
      </c>
      <c r="G9" s="4">
        <v>1</v>
      </c>
      <c r="H9" s="4" t="str">
        <f t="shared" si="0"/>
        <v>OK</v>
      </c>
      <c r="I9" s="4" t="b">
        <f t="shared" si="1"/>
        <v>1</v>
      </c>
      <c r="J9" s="50">
        <v>266.7</v>
      </c>
      <c r="K9" s="50" t="str">
        <f>IF(OR(Table1[[#This Row],[Price]]&gt;$S$20,Table1[[#This Row],[Price]]&lt;$T$19),"Outlier","OK")</f>
        <v>OK</v>
      </c>
      <c r="L9" s="5" t="b">
        <f t="shared" si="2"/>
        <v>1</v>
      </c>
      <c r="M9" s="1" t="s">
        <v>22</v>
      </c>
      <c r="N9" s="1" t="s">
        <v>28</v>
      </c>
      <c r="O9" s="14">
        <f>Table1[[#This Row],[Price]]*Table1[[#This Row],[Quantity]]</f>
        <v>266.7</v>
      </c>
      <c r="P9" s="14" t="str">
        <f>IF(AND(O9&lt;0,O9&lt;&gt;N25),"ERORR","OK")</f>
        <v>OK</v>
      </c>
      <c r="S9" s="28" t="str">
        <f>"Total Quantity Sold = "&amp;SUM(G:G)</f>
        <v>Total Quantity Sold = 269</v>
      </c>
    </row>
    <row r="10" spans="1:20" customFormat="1">
      <c r="A10" s="21">
        <v>168</v>
      </c>
      <c r="B10" s="1" t="s">
        <v>188</v>
      </c>
      <c r="C10" s="1" t="s">
        <v>189</v>
      </c>
      <c r="D10" s="2">
        <v>45965</v>
      </c>
      <c r="E10" s="1" t="s">
        <v>35</v>
      </c>
      <c r="F10" s="1" t="str">
        <f>VLOOKUP(E10,Mapping!$A$1:$B$20,2,FALSE)</f>
        <v>Books</v>
      </c>
      <c r="G10" s="4">
        <v>2</v>
      </c>
      <c r="H10" s="4" t="str">
        <f t="shared" si="0"/>
        <v>OK</v>
      </c>
      <c r="I10" s="4" t="b">
        <f t="shared" si="1"/>
        <v>1</v>
      </c>
      <c r="J10" s="50">
        <v>141.49</v>
      </c>
      <c r="K10" s="50" t="str">
        <f>IF(OR(Table1[[#This Row],[Price]]&gt;$S$20,Table1[[#This Row],[Price]]&lt;$T$19),"Outlier","OK")</f>
        <v>OK</v>
      </c>
      <c r="L10" s="5" t="b">
        <f t="shared" si="2"/>
        <v>1</v>
      </c>
      <c r="M10" s="1" t="s">
        <v>22</v>
      </c>
      <c r="N10" s="1" t="s">
        <v>38</v>
      </c>
      <c r="O10" s="14">
        <v>0</v>
      </c>
      <c r="P10" s="14" t="str">
        <f>IF(AND(O10&lt;0,O10&lt;&gt;N27),"ERORR","OK")</f>
        <v>OK</v>
      </c>
      <c r="S10" s="46" t="str">
        <f>"Unique Costomers = "&amp;COUNTA(Mapping!D:D)</f>
        <v>Unique Costomers = 93</v>
      </c>
    </row>
    <row r="11" spans="1:20" customFormat="1">
      <c r="A11" s="21">
        <v>137</v>
      </c>
      <c r="B11" s="1" t="s">
        <v>121</v>
      </c>
      <c r="C11" s="1" t="s">
        <v>122</v>
      </c>
      <c r="D11" s="2">
        <v>45711</v>
      </c>
      <c r="E11" s="1" t="s">
        <v>88</v>
      </c>
      <c r="F11" s="1" t="str">
        <f>VLOOKUP(E11,Mapping!$A$1:$B$20,2,FALSE)</f>
        <v>Home</v>
      </c>
      <c r="G11" s="4">
        <v>3</v>
      </c>
      <c r="H11" s="4" t="str">
        <f t="shared" si="0"/>
        <v>OK</v>
      </c>
      <c r="I11" s="4" t="b">
        <f t="shared" si="1"/>
        <v>1</v>
      </c>
      <c r="J11" s="50">
        <f>MEDIAN(J46:J94)</f>
        <v>649.005</v>
      </c>
      <c r="K11" s="50" t="str">
        <f>IF(OR(Table1[[#This Row],[Price]]&gt;$S$20,Table1[[#This Row],[Price]]&lt;$T$19),"Outlier","OK")</f>
        <v>OK</v>
      </c>
      <c r="L11" s="5" t="b">
        <f t="shared" si="2"/>
        <v>1</v>
      </c>
      <c r="M11" s="1" t="s">
        <v>15</v>
      </c>
      <c r="N11" s="1" t="s">
        <v>28</v>
      </c>
      <c r="O11" s="14">
        <f>Table1[[#This Row],[Price]]*Table1[[#This Row],[Quantity]]</f>
        <v>1947.0149999999999</v>
      </c>
      <c r="P11" s="14" t="str">
        <f>IF(AND(O11&lt;0,O11&lt;&gt;N28),"ERORR","OK")</f>
        <v>OK</v>
      </c>
      <c r="S11" s="47"/>
      <c r="T11" s="19"/>
    </row>
    <row r="12" spans="1:20" customFormat="1">
      <c r="A12" s="21">
        <v>162</v>
      </c>
      <c r="B12" s="1" t="s">
        <v>176</v>
      </c>
      <c r="C12" s="1" t="s">
        <v>177</v>
      </c>
      <c r="D12" s="2">
        <v>45796</v>
      </c>
      <c r="E12" s="1" t="s">
        <v>13</v>
      </c>
      <c r="F12" s="1" t="str">
        <f>VLOOKUP(E12,Mapping!$A$1:$B$20,2,FALSE)</f>
        <v>Home</v>
      </c>
      <c r="G12" s="4">
        <v>2</v>
      </c>
      <c r="H12" s="4" t="str">
        <f t="shared" si="0"/>
        <v>OK</v>
      </c>
      <c r="I12" s="4" t="b">
        <f t="shared" si="1"/>
        <v>1</v>
      </c>
      <c r="J12" s="50">
        <v>553</v>
      </c>
      <c r="K12" s="50" t="str">
        <f>IF(OR(Table1[[#This Row],[Price]]&gt;$S$20,Table1[[#This Row],[Price]]&lt;$T$19),"Outlier","OK")</f>
        <v>OK</v>
      </c>
      <c r="L12" s="5" t="b">
        <f t="shared" si="2"/>
        <v>1</v>
      </c>
      <c r="M12" s="1" t="s">
        <v>49</v>
      </c>
      <c r="N12" s="1" t="s">
        <v>44</v>
      </c>
      <c r="O12" s="14">
        <v>0</v>
      </c>
      <c r="P12" s="14" t="str">
        <f>IF(AND(O12&lt;0,O12&lt;&gt;N28),"ERORR","OK")</f>
        <v>OK</v>
      </c>
      <c r="S12" s="47"/>
      <c r="T12" s="19"/>
    </row>
    <row r="13" spans="1:20" customFormat="1">
      <c r="A13" s="21">
        <v>186</v>
      </c>
      <c r="B13" s="1" t="s">
        <v>224</v>
      </c>
      <c r="C13" s="1" t="s">
        <v>225</v>
      </c>
      <c r="D13" s="2">
        <v>45936</v>
      </c>
      <c r="E13" s="1" t="s">
        <v>140</v>
      </c>
      <c r="F13" s="1" t="str">
        <f>VLOOKUP(E13,Mapping!$A$1:$B$20,2,FALSE)</f>
        <v>Electronics</v>
      </c>
      <c r="G13" s="4">
        <v>1</v>
      </c>
      <c r="H13" s="4" t="str">
        <f t="shared" si="0"/>
        <v>OK</v>
      </c>
      <c r="I13" s="4" t="b">
        <f t="shared" si="1"/>
        <v>1</v>
      </c>
      <c r="J13" s="50">
        <v>365.34</v>
      </c>
      <c r="K13" s="50" t="str">
        <f>IF(OR(Table1[[#This Row],[Price]]&gt;$S$20,Table1[[#This Row],[Price]]&lt;$T$19),"Outlier","OK")</f>
        <v>OK</v>
      </c>
      <c r="L13" s="5" t="b">
        <f t="shared" si="2"/>
        <v>1</v>
      </c>
      <c r="M13" s="1" t="s">
        <v>41</v>
      </c>
      <c r="N13" s="1" t="s">
        <v>28</v>
      </c>
      <c r="O13" s="14">
        <f>Table1[[#This Row],[Price]]*Table1[[#This Row],[Quantity]]</f>
        <v>365.34</v>
      </c>
      <c r="P13" s="14" t="str">
        <f>IF(AND(O13&lt;0,O13&lt;&gt;N30),"ERORR","OK")</f>
        <v>OK</v>
      </c>
      <c r="S13" s="48"/>
      <c r="T13" s="19"/>
    </row>
    <row r="14" spans="1:20" customFormat="1">
      <c r="A14" s="21">
        <v>105</v>
      </c>
      <c r="B14" s="1" t="s">
        <v>36</v>
      </c>
      <c r="C14" s="1" t="s">
        <v>37</v>
      </c>
      <c r="D14" s="2">
        <v>45616</v>
      </c>
      <c r="E14" s="1" t="s">
        <v>26</v>
      </c>
      <c r="F14" s="1" t="str">
        <f>VLOOKUP(E14,Mapping!$A$1:$B$20,2,FALSE)</f>
        <v>Sports</v>
      </c>
      <c r="G14" s="4">
        <v>3</v>
      </c>
      <c r="H14" s="4" t="str">
        <f t="shared" si="0"/>
        <v>OK</v>
      </c>
      <c r="I14" s="4" t="b">
        <f t="shared" si="1"/>
        <v>1</v>
      </c>
      <c r="J14" s="50">
        <f>MEDIAN(J17:J69)</f>
        <v>546.04</v>
      </c>
      <c r="K14" s="50" t="str">
        <f>IF(OR(Table1[[#This Row],[Price]]&gt;$S$20,Table1[[#This Row],[Price]]&lt;$T$19),"Outlier","OK")</f>
        <v>OK</v>
      </c>
      <c r="L14" s="5" t="b">
        <f t="shared" si="2"/>
        <v>1</v>
      </c>
      <c r="M14" s="1" t="s">
        <v>15</v>
      </c>
      <c r="N14" s="1" t="s">
        <v>38</v>
      </c>
      <c r="O14" s="14">
        <v>0</v>
      </c>
      <c r="P14" s="14" t="str">
        <f>IF(AND(O14&lt;0,O14&lt;&gt;N29),"ERORR","OK")</f>
        <v>OK</v>
      </c>
      <c r="S14" s="48"/>
      <c r="T14" s="19"/>
    </row>
    <row r="15" spans="1:20" customFormat="1">
      <c r="A15" s="21">
        <v>102</v>
      </c>
      <c r="B15" s="1" t="s">
        <v>24</v>
      </c>
      <c r="C15" s="1" t="s">
        <v>25</v>
      </c>
      <c r="D15" s="2">
        <v>45649</v>
      </c>
      <c r="E15" s="1" t="s">
        <v>26</v>
      </c>
      <c r="F15" s="1" t="str">
        <f>VLOOKUP(E15,Mapping!$A$1:$B$20,2,FALSE)</f>
        <v>Sports</v>
      </c>
      <c r="G15" s="4">
        <v>1</v>
      </c>
      <c r="H15" s="4" t="str">
        <f t="shared" si="0"/>
        <v>OK</v>
      </c>
      <c r="I15" s="4" t="b">
        <f t="shared" si="1"/>
        <v>1</v>
      </c>
      <c r="J15" s="50">
        <v>389.05</v>
      </c>
      <c r="K15" s="50" t="str">
        <f>IF(OR(Table1[[#This Row],[Price]]&gt;$S$20,Table1[[#This Row],[Price]]&lt;$T$19),"Outlier","OK")</f>
        <v>OK</v>
      </c>
      <c r="L15" s="5" t="b">
        <f t="shared" si="2"/>
        <v>1</v>
      </c>
      <c r="M15" s="1" t="s">
        <v>22</v>
      </c>
      <c r="N15" s="1" t="s">
        <v>28</v>
      </c>
      <c r="O15" s="14">
        <f>Table1[[#This Row],[Price]]*Table1[[#This Row],[Quantity]]</f>
        <v>389.05</v>
      </c>
      <c r="P15" s="14" t="str">
        <f>IF(AND(O15&lt;0,O15&lt;&gt;N30),"ERORR","OK")</f>
        <v>OK</v>
      </c>
      <c r="S15" s="48"/>
      <c r="T15" s="19"/>
    </row>
    <row r="16" spans="1:20" customFormat="1">
      <c r="A16" s="21">
        <v>184</v>
      </c>
      <c r="B16" s="1" t="s">
        <v>220</v>
      </c>
      <c r="C16" s="1" t="s">
        <v>221</v>
      </c>
      <c r="D16" s="2">
        <v>45703</v>
      </c>
      <c r="E16" s="1" t="s">
        <v>165</v>
      </c>
      <c r="F16" s="1" t="str">
        <f>VLOOKUP(E16,Mapping!$A$1:$B$20,2,FALSE)</f>
        <v>Clothings</v>
      </c>
      <c r="G16" s="4">
        <v>4</v>
      </c>
      <c r="H16" s="4" t="str">
        <f t="shared" si="0"/>
        <v>OK</v>
      </c>
      <c r="I16" s="4" t="b">
        <f t="shared" si="1"/>
        <v>1</v>
      </c>
      <c r="J16" s="50">
        <f>MEDIAN(J82)</f>
        <v>741.63</v>
      </c>
      <c r="K16" s="50" t="str">
        <f>IF(OR(Table1[[#This Row],[Price]]&gt;$S$20,Table1[[#This Row],[Price]]&lt;$T$19),"Outlier","OK")</f>
        <v>OK</v>
      </c>
      <c r="L16" s="5" t="b">
        <f t="shared" si="2"/>
        <v>1</v>
      </c>
      <c r="M16" s="1" t="s">
        <v>41</v>
      </c>
      <c r="N16" s="1" t="s">
        <v>23</v>
      </c>
      <c r="O16" s="14">
        <f>Table1[[#This Row],[Price]]*Table1[[#This Row],[Quantity]]</f>
        <v>2966.52</v>
      </c>
      <c r="P16" s="14" t="str">
        <f>IF(AND(O16&lt;0,O16&lt;&gt;N33),"ERORR","OK")</f>
        <v>OK</v>
      </c>
      <c r="R16" s="53" t="s">
        <v>263</v>
      </c>
      <c r="S16" s="54">
        <f>_xlfn.QUARTILE.INC(J:J,1)</f>
        <v>408.85750000000002</v>
      </c>
      <c r="T16" s="55"/>
    </row>
    <row r="17" spans="1:20" customFormat="1">
      <c r="A17" s="21">
        <v>113</v>
      </c>
      <c r="B17" s="1" t="s">
        <v>61</v>
      </c>
      <c r="C17" s="1" t="s">
        <v>62</v>
      </c>
      <c r="D17" s="2">
        <v>45862</v>
      </c>
      <c r="E17" s="1" t="s">
        <v>63</v>
      </c>
      <c r="F17" s="1" t="str">
        <f>VLOOKUP(E17,Mapping!$A$1:$B$20,2,FALSE)</f>
        <v>Books</v>
      </c>
      <c r="G17" s="4">
        <v>1</v>
      </c>
      <c r="H17" s="4" t="str">
        <f t="shared" si="0"/>
        <v>OK</v>
      </c>
      <c r="I17" s="4" t="b">
        <f t="shared" si="1"/>
        <v>1</v>
      </c>
      <c r="J17" s="50">
        <v>411.81</v>
      </c>
      <c r="K17" s="50" t="str">
        <f>IF(OR(Table1[[#This Row],[Price]]&gt;$S$20,Table1[[#This Row],[Price]]&lt;$T$19),"Outlier","OK")</f>
        <v>OK</v>
      </c>
      <c r="L17" s="5" t="b">
        <f t="shared" si="2"/>
        <v>1</v>
      </c>
      <c r="M17" s="1" t="s">
        <v>49</v>
      </c>
      <c r="N17" s="1" t="s">
        <v>23</v>
      </c>
      <c r="O17" s="14">
        <f>Table1[[#This Row],[Price]]*Table1[[#This Row],[Quantity]]</f>
        <v>411.81</v>
      </c>
      <c r="P17" s="14" t="str">
        <f>IF(AND(O17&lt;0,O17&lt;&gt;N33),"ERORR","OK")</f>
        <v>OK</v>
      </c>
      <c r="R17" s="53" t="s">
        <v>264</v>
      </c>
      <c r="S17" s="54">
        <f>_xlfn.QUARTILE.INC(J:J,3)</f>
        <v>741.63</v>
      </c>
      <c r="T17" s="55"/>
    </row>
    <row r="18" spans="1:20" customFormat="1">
      <c r="A18" s="21">
        <v>159</v>
      </c>
      <c r="B18" s="1" t="s">
        <v>170</v>
      </c>
      <c r="C18" s="1" t="s">
        <v>171</v>
      </c>
      <c r="D18" s="2">
        <v>45866</v>
      </c>
      <c r="E18" s="1" t="s">
        <v>70</v>
      </c>
      <c r="F18" s="1" t="str">
        <f>VLOOKUP(E18,Mapping!$A$1:$B$20,2,FALSE)</f>
        <v>Home</v>
      </c>
      <c r="G18" s="4">
        <v>3</v>
      </c>
      <c r="H18" s="4" t="str">
        <f t="shared" si="0"/>
        <v>OK</v>
      </c>
      <c r="I18" s="4" t="b">
        <f t="shared" si="1"/>
        <v>1</v>
      </c>
      <c r="J18" s="50">
        <v>163.16</v>
      </c>
      <c r="K18" s="50" t="str">
        <f>IF(OR(Table1[[#This Row],[Price]]&gt;$S$20,Table1[[#This Row],[Price]]&lt;$T$19),"Outlier","OK")</f>
        <v>OK</v>
      </c>
      <c r="L18" s="5" t="b">
        <f t="shared" si="2"/>
        <v>1</v>
      </c>
      <c r="M18" s="1" t="s">
        <v>22</v>
      </c>
      <c r="N18" s="1" t="s">
        <v>16</v>
      </c>
      <c r="O18" s="14">
        <f>Table1[[#This Row],[Price]]*Table1[[#This Row],[Quantity]]</f>
        <v>489.48</v>
      </c>
      <c r="P18" s="14" t="str">
        <f>IF(AND(O18&lt;0,O18&lt;&gt;N34),"ERORR","OK")</f>
        <v>OK</v>
      </c>
      <c r="R18" s="53" t="s">
        <v>265</v>
      </c>
      <c r="S18" s="54">
        <f>S17-S16</f>
        <v>332.77249999999998</v>
      </c>
      <c r="T18" s="55"/>
    </row>
    <row r="19" spans="1:20" customFormat="1">
      <c r="A19" s="21">
        <v>138</v>
      </c>
      <c r="B19" s="1" t="s">
        <v>123</v>
      </c>
      <c r="C19" s="1" t="s">
        <v>124</v>
      </c>
      <c r="D19" s="2">
        <v>45878</v>
      </c>
      <c r="E19" s="1" t="s">
        <v>99</v>
      </c>
      <c r="F19" s="1" t="str">
        <f>VLOOKUP(E19,Mapping!$A$1:$B$20,2,FALSE)</f>
        <v>Home</v>
      </c>
      <c r="G19" s="4">
        <v>1</v>
      </c>
      <c r="H19" s="4" t="str">
        <f t="shared" si="0"/>
        <v>OK</v>
      </c>
      <c r="I19" s="4" t="b">
        <f t="shared" si="1"/>
        <v>1</v>
      </c>
      <c r="J19" s="50">
        <v>531.05999999999995</v>
      </c>
      <c r="K19" s="50" t="str">
        <f>IF(OR(Table1[[#This Row],[Price]]&gt;$S$20,Table1[[#This Row],[Price]]&lt;$T$19),"Outlier","OK")</f>
        <v>OK</v>
      </c>
      <c r="L19" s="5" t="b">
        <f t="shared" si="2"/>
        <v>1</v>
      </c>
      <c r="M19" s="1" t="s">
        <v>22</v>
      </c>
      <c r="N19" s="1" t="s">
        <v>23</v>
      </c>
      <c r="O19" s="14">
        <f>Table1[[#This Row],[Price]]*Table1[[#This Row],[Quantity]]</f>
        <v>531.05999999999995</v>
      </c>
      <c r="P19" s="14" t="str">
        <f>IF(AND(O19&lt;0,O19&lt;&gt;N36),"ERORR","OK")</f>
        <v>OK</v>
      </c>
      <c r="R19" s="53" t="s">
        <v>266</v>
      </c>
      <c r="S19" s="55">
        <f>S16-(1.5*S18)</f>
        <v>-90.301249999999925</v>
      </c>
      <c r="T19" s="55">
        <f>ABS(S19)</f>
        <v>90.301249999999925</v>
      </c>
    </row>
    <row r="20" spans="1:20" customFormat="1">
      <c r="A20" s="21">
        <v>104</v>
      </c>
      <c r="B20" s="1" t="s">
        <v>33</v>
      </c>
      <c r="C20" s="1" t="s">
        <v>34</v>
      </c>
      <c r="D20" s="2">
        <v>45950</v>
      </c>
      <c r="E20" s="1" t="s">
        <v>35</v>
      </c>
      <c r="F20" s="1" t="str">
        <f>VLOOKUP(E20,Mapping!$A$1:$B$20,2,FALSE)</f>
        <v>Books</v>
      </c>
      <c r="G20" s="4">
        <v>1</v>
      </c>
      <c r="H20" s="4" t="str">
        <f t="shared" si="0"/>
        <v>OK</v>
      </c>
      <c r="I20" s="4" t="b">
        <f t="shared" si="1"/>
        <v>1</v>
      </c>
      <c r="J20" s="50">
        <v>552.51</v>
      </c>
      <c r="K20" s="50" t="str">
        <f>IF(OR(Table1[[#This Row],[Price]]&gt;$S$20,Table1[[#This Row],[Price]]&lt;$T$19),"Outlier","OK")</f>
        <v>OK</v>
      </c>
      <c r="L20" s="5" t="b">
        <f t="shared" si="2"/>
        <v>1</v>
      </c>
      <c r="M20" s="1" t="s">
        <v>15</v>
      </c>
      <c r="N20" s="1" t="s">
        <v>23</v>
      </c>
      <c r="O20" s="14">
        <f>Table1[[#This Row],[Price]]*Table1[[#This Row],[Quantity]]</f>
        <v>552.51</v>
      </c>
      <c r="P20" s="14" t="str">
        <f>IF(AND(O20&lt;0,O20&lt;&gt;N37),"ERORR","OK")</f>
        <v>OK</v>
      </c>
      <c r="R20" s="53" t="s">
        <v>267</v>
      </c>
      <c r="S20" s="55">
        <f>S17+1.5*S18</f>
        <v>1240.7887499999999</v>
      </c>
      <c r="T20" s="55"/>
    </row>
    <row r="21" spans="1:20" customFormat="1">
      <c r="A21" s="21">
        <v>169</v>
      </c>
      <c r="B21" s="1" t="s">
        <v>190</v>
      </c>
      <c r="C21" s="1" t="s">
        <v>191</v>
      </c>
      <c r="D21" s="2">
        <v>45881</v>
      </c>
      <c r="E21" s="1" t="s">
        <v>52</v>
      </c>
      <c r="F21" s="1" t="str">
        <f>VLOOKUP(E21,Mapping!$A$1:$B$20,2,FALSE)</f>
        <v>Sports</v>
      </c>
      <c r="G21" s="4">
        <v>1</v>
      </c>
      <c r="H21" s="4" t="str">
        <f t="shared" si="0"/>
        <v>OK</v>
      </c>
      <c r="I21" s="4" t="b">
        <f t="shared" si="1"/>
        <v>1</v>
      </c>
      <c r="J21" s="50">
        <v>582.13</v>
      </c>
      <c r="K21" s="50" t="str">
        <f>IF(OR(Table1[[#This Row],[Price]]&gt;$S$20,Table1[[#This Row],[Price]]&lt;$T$19),"Outlier","OK")</f>
        <v>OK</v>
      </c>
      <c r="L21" s="5" t="b">
        <f t="shared" si="2"/>
        <v>1</v>
      </c>
      <c r="M21" s="1" t="s">
        <v>49</v>
      </c>
      <c r="N21" s="1" t="s">
        <v>44</v>
      </c>
      <c r="O21" s="14">
        <v>0</v>
      </c>
      <c r="P21" s="14" t="str">
        <f>IF(AND(O21&lt;0,O21&lt;&gt;N38),"ERORR","OK")</f>
        <v>OK</v>
      </c>
    </row>
    <row r="22" spans="1:20" customFormat="1">
      <c r="A22" s="21">
        <v>108</v>
      </c>
      <c r="B22" s="1" t="s">
        <v>45</v>
      </c>
      <c r="C22" s="1" t="s">
        <v>46</v>
      </c>
      <c r="D22" s="2">
        <v>45953</v>
      </c>
      <c r="E22" s="1" t="s">
        <v>31</v>
      </c>
      <c r="F22" s="1" t="str">
        <f>VLOOKUP(E22,Mapping!$A$1:$B$20,2,FALSE)</f>
        <v>Books</v>
      </c>
      <c r="G22" s="4">
        <v>1</v>
      </c>
      <c r="H22" s="4" t="str">
        <f t="shared" si="0"/>
        <v>OK</v>
      </c>
      <c r="I22" s="4" t="b">
        <f t="shared" si="1"/>
        <v>1</v>
      </c>
      <c r="J22" s="50">
        <v>600.29</v>
      </c>
      <c r="K22" s="50" t="str">
        <f>IF(OR(Table1[[#This Row],[Price]]&gt;$S$20,Table1[[#This Row],[Price]]&lt;$T$19),"Outlier","OK")</f>
        <v>OK</v>
      </c>
      <c r="L22" s="5" t="b">
        <f t="shared" si="2"/>
        <v>1</v>
      </c>
      <c r="M22" s="1" t="s">
        <v>15</v>
      </c>
      <c r="N22" s="1" t="s">
        <v>23</v>
      </c>
      <c r="O22" s="14">
        <f>Table1[[#This Row],[Price]]*Table1[[#This Row],[Quantity]]</f>
        <v>600.29</v>
      </c>
      <c r="P22" s="14" t="str">
        <f>IF(AND(O22&lt;0,O22&lt;&gt;N39),"ERORR","OK")</f>
        <v>OK</v>
      </c>
    </row>
    <row r="23" spans="1:20" customFormat="1">
      <c r="A23" s="21">
        <v>151</v>
      </c>
      <c r="B23" s="1" t="s">
        <v>152</v>
      </c>
      <c r="C23" s="1" t="s">
        <v>153</v>
      </c>
      <c r="D23" s="2">
        <v>45839</v>
      </c>
      <c r="E23" s="1" t="s">
        <v>56</v>
      </c>
      <c r="F23" s="1" t="str">
        <f>VLOOKUP(E23,Mapping!$A$1:$B$20,2,FALSE)</f>
        <v>Books</v>
      </c>
      <c r="G23" s="4">
        <v>2</v>
      </c>
      <c r="H23" s="4" t="str">
        <f t="shared" si="0"/>
        <v>OK</v>
      </c>
      <c r="I23" s="4" t="b">
        <f t="shared" si="1"/>
        <v>1</v>
      </c>
      <c r="J23" s="50">
        <v>457.16</v>
      </c>
      <c r="K23" s="50" t="str">
        <f>IF(OR(Table1[[#This Row],[Price]]&gt;$S$20,Table1[[#This Row],[Price]]&lt;$T$19),"Outlier","OK")</f>
        <v>OK</v>
      </c>
      <c r="L23" s="5" t="b">
        <f t="shared" si="2"/>
        <v>1</v>
      </c>
      <c r="M23" s="1" t="s">
        <v>22</v>
      </c>
      <c r="N23" s="1" t="s">
        <v>23</v>
      </c>
      <c r="O23" s="14">
        <f>Table1[[#This Row],[Price]]*Table1[[#This Row],[Quantity]]</f>
        <v>914.32</v>
      </c>
      <c r="P23" s="14" t="str">
        <f>IF(AND(O23&lt;0,O23&lt;&gt;N39),"ERORR","OK")</f>
        <v>OK</v>
      </c>
    </row>
    <row r="24" spans="1:20" customFormat="1">
      <c r="A24" s="21">
        <v>148</v>
      </c>
      <c r="B24" s="1" t="s">
        <v>146</v>
      </c>
      <c r="C24" s="1" t="s">
        <v>147</v>
      </c>
      <c r="D24" s="2">
        <v>45729</v>
      </c>
      <c r="E24" s="1" t="s">
        <v>26</v>
      </c>
      <c r="F24" s="1" t="str">
        <f>VLOOKUP(E24,Mapping!$A$1:$B$20,2,FALSE)</f>
        <v>Sports</v>
      </c>
      <c r="G24" s="4">
        <v>1</v>
      </c>
      <c r="H24" s="4" t="str">
        <f t="shared" si="0"/>
        <v>OK</v>
      </c>
      <c r="I24" s="4" t="b">
        <f t="shared" si="1"/>
        <v>1</v>
      </c>
      <c r="J24" s="50">
        <v>660.98</v>
      </c>
      <c r="K24" s="50" t="str">
        <f>IF(OR(Table1[[#This Row],[Price]]&gt;$S$20,Table1[[#This Row],[Price]]&lt;$T$19),"Outlier","OK")</f>
        <v>OK</v>
      </c>
      <c r="L24" s="5" t="b">
        <f t="shared" si="2"/>
        <v>1</v>
      </c>
      <c r="M24" s="1" t="s">
        <v>15</v>
      </c>
      <c r="N24" s="1" t="s">
        <v>44</v>
      </c>
      <c r="O24" s="14">
        <v>0</v>
      </c>
      <c r="P24" s="14" t="str">
        <f>IF(AND(O24&lt;0,O24&lt;&gt;N40),"ERORR","OK")</f>
        <v>OK</v>
      </c>
    </row>
    <row r="25" spans="1:20" customFormat="1">
      <c r="A25" s="21">
        <v>136</v>
      </c>
      <c r="B25" s="1" t="s">
        <v>118</v>
      </c>
      <c r="C25" s="1" t="s">
        <v>119</v>
      </c>
      <c r="D25" s="2">
        <v>45820</v>
      </c>
      <c r="E25" s="1" t="s">
        <v>120</v>
      </c>
      <c r="F25" s="1" t="str">
        <f>VLOOKUP(E25,Mapping!$A$1:$B$20,2,FALSE)</f>
        <v>Electronics</v>
      </c>
      <c r="G25" s="4">
        <v>1</v>
      </c>
      <c r="H25" s="4" t="str">
        <f t="shared" si="0"/>
        <v>OK</v>
      </c>
      <c r="I25" s="4" t="b">
        <f t="shared" si="1"/>
        <v>1</v>
      </c>
      <c r="J25" s="50">
        <v>696.71</v>
      </c>
      <c r="K25" s="50" t="str">
        <f>IF(OR(Table1[[#This Row],[Price]]&gt;$S$20,Table1[[#This Row],[Price]]&lt;$T$19),"Outlier","OK")</f>
        <v>OK</v>
      </c>
      <c r="L25" s="5" t="b">
        <f t="shared" si="2"/>
        <v>1</v>
      </c>
      <c r="M25" s="1" t="s">
        <v>49</v>
      </c>
      <c r="N25" s="1" t="s">
        <v>28</v>
      </c>
      <c r="O25" s="14">
        <f>Table1[[#This Row],[Price]]*Table1[[#This Row],[Quantity]]</f>
        <v>696.71</v>
      </c>
      <c r="P25" s="14" t="str">
        <f t="shared" ref="P25:P30" si="3">IF(AND(O25&lt;0,O25&lt;&gt;N42),"ERORR","OK")</f>
        <v>OK</v>
      </c>
    </row>
    <row r="26" spans="1:20" customFormat="1">
      <c r="A26" s="21">
        <v>152</v>
      </c>
      <c r="B26" s="1" t="s">
        <v>154</v>
      </c>
      <c r="C26" s="1" t="s">
        <v>155</v>
      </c>
      <c r="D26" s="2">
        <v>45922</v>
      </c>
      <c r="E26" s="1" t="s">
        <v>99</v>
      </c>
      <c r="F26" s="1" t="str">
        <f>VLOOKUP(E26,Mapping!$A$1:$B$20,2,FALSE)</f>
        <v>Home</v>
      </c>
      <c r="G26" s="4">
        <v>3</v>
      </c>
      <c r="H26" s="4" t="str">
        <f t="shared" si="0"/>
        <v>OK</v>
      </c>
      <c r="I26" s="4" t="b">
        <f t="shared" si="1"/>
        <v>1</v>
      </c>
      <c r="J26" s="50">
        <v>233.11</v>
      </c>
      <c r="K26" s="50" t="str">
        <f>IF(OR(Table1[[#This Row],[Price]]&gt;$S$20,Table1[[#This Row],[Price]]&lt;$T$19),"Outlier","OK")</f>
        <v>OK</v>
      </c>
      <c r="L26" s="5" t="b">
        <f t="shared" si="2"/>
        <v>1</v>
      </c>
      <c r="M26" s="1" t="s">
        <v>22</v>
      </c>
      <c r="N26" s="1" t="s">
        <v>44</v>
      </c>
      <c r="O26" s="14">
        <v>0</v>
      </c>
      <c r="P26" s="14" t="str">
        <f t="shared" si="3"/>
        <v>OK</v>
      </c>
    </row>
    <row r="27" spans="1:20" customFormat="1">
      <c r="A27" s="21">
        <v>163</v>
      </c>
      <c r="B27" s="1" t="s">
        <v>178</v>
      </c>
      <c r="C27" s="1" t="s">
        <v>179</v>
      </c>
      <c r="D27" s="2">
        <v>44931</v>
      </c>
      <c r="E27" s="1" t="s">
        <v>117</v>
      </c>
      <c r="F27" s="1" t="str">
        <f>VLOOKUP(E27,Mapping!$A$1:$B$20,2,FALSE)</f>
        <v>Electronics</v>
      </c>
      <c r="G27" s="4">
        <v>3</v>
      </c>
      <c r="H27" s="4" t="str">
        <f t="shared" si="0"/>
        <v>OK</v>
      </c>
      <c r="I27" s="4" t="b">
        <f t="shared" si="1"/>
        <v>1</v>
      </c>
      <c r="J27" s="50">
        <v>235.26</v>
      </c>
      <c r="K27" s="50" t="str">
        <f>IF(OR(Table1[[#This Row],[Price]]&gt;$S$20,Table1[[#This Row],[Price]]&lt;$T$19),"Outlier","OK")</f>
        <v>OK</v>
      </c>
      <c r="L27" s="5" t="b">
        <f t="shared" si="2"/>
        <v>1</v>
      </c>
      <c r="M27" s="1" t="s">
        <v>15</v>
      </c>
      <c r="N27" s="1" t="s">
        <v>16</v>
      </c>
      <c r="O27" s="14">
        <f>Table1[[#This Row],[Price]]*Table1[[#This Row],[Quantity]]</f>
        <v>705.78</v>
      </c>
      <c r="P27" s="14" t="str">
        <f t="shared" si="3"/>
        <v>OK</v>
      </c>
    </row>
    <row r="28" spans="1:20" customFormat="1">
      <c r="A28" s="21">
        <v>174</v>
      </c>
      <c r="B28" s="1" t="s">
        <v>200</v>
      </c>
      <c r="C28" s="1" t="s">
        <v>201</v>
      </c>
      <c r="D28" s="2">
        <v>45920</v>
      </c>
      <c r="E28" s="1" t="s">
        <v>70</v>
      </c>
      <c r="F28" s="1" t="str">
        <f>VLOOKUP(E28,Mapping!$A$1:$B$20,2,FALSE)</f>
        <v>Home</v>
      </c>
      <c r="G28" s="4">
        <v>4</v>
      </c>
      <c r="H28" s="4" t="str">
        <f t="shared" si="0"/>
        <v>OK</v>
      </c>
      <c r="I28" s="4" t="b">
        <f t="shared" si="1"/>
        <v>1</v>
      </c>
      <c r="J28" s="50">
        <v>187.48</v>
      </c>
      <c r="K28" s="50" t="str">
        <f>IF(OR(Table1[[#This Row],[Price]]&gt;$S$20,Table1[[#This Row],[Price]]&lt;$T$19),"Outlier","OK")</f>
        <v>OK</v>
      </c>
      <c r="L28" s="5" t="b">
        <f t="shared" si="2"/>
        <v>1</v>
      </c>
      <c r="M28" s="1" t="s">
        <v>49</v>
      </c>
      <c r="N28" s="1" t="s">
        <v>44</v>
      </c>
      <c r="O28" s="14">
        <v>0</v>
      </c>
      <c r="P28" s="14" t="str">
        <f t="shared" si="3"/>
        <v>OK</v>
      </c>
    </row>
    <row r="29" spans="1:20" customFormat="1">
      <c r="A29" s="21">
        <v>189</v>
      </c>
      <c r="B29" s="1" t="s">
        <v>230</v>
      </c>
      <c r="C29" s="1" t="s">
        <v>231</v>
      </c>
      <c r="D29" s="2">
        <v>45883</v>
      </c>
      <c r="E29" s="1" t="s">
        <v>99</v>
      </c>
      <c r="F29" s="1" t="str">
        <f>VLOOKUP(E29,Mapping!$A$1:$B$20,2,FALSE)</f>
        <v>Home</v>
      </c>
      <c r="G29" s="4">
        <v>1</v>
      </c>
      <c r="H29" s="4" t="str">
        <f t="shared" si="0"/>
        <v>OK</v>
      </c>
      <c r="I29" s="4" t="b">
        <f t="shared" si="1"/>
        <v>1</v>
      </c>
      <c r="J29" s="50">
        <v>814.68</v>
      </c>
      <c r="K29" s="50" t="str">
        <f>IF(OR(Table1[[#This Row],[Price]]&gt;$S$20,Table1[[#This Row],[Price]]&lt;$T$19),"Outlier","OK")</f>
        <v>OK</v>
      </c>
      <c r="L29" s="5" t="b">
        <f t="shared" si="2"/>
        <v>1</v>
      </c>
      <c r="M29" s="1" t="s">
        <v>15</v>
      </c>
      <c r="N29" s="1" t="s">
        <v>44</v>
      </c>
      <c r="O29" s="14">
        <v>0</v>
      </c>
      <c r="P29" s="14" t="str">
        <f t="shared" si="3"/>
        <v>OK</v>
      </c>
    </row>
    <row r="30" spans="1:20" customFormat="1">
      <c r="A30" s="21">
        <v>114</v>
      </c>
      <c r="B30" s="1" t="s">
        <v>64</v>
      </c>
      <c r="C30" s="1" t="s">
        <v>65</v>
      </c>
      <c r="D30" s="8">
        <v>44931</v>
      </c>
      <c r="E30" s="1" t="s">
        <v>19</v>
      </c>
      <c r="F30" s="1" t="str">
        <f>VLOOKUP(E30,Mapping!$A$1:$B$20,2,FALSE)</f>
        <v>Electronics</v>
      </c>
      <c r="G30" s="4">
        <v>2</v>
      </c>
      <c r="H30" s="4" t="str">
        <f t="shared" si="0"/>
        <v>OK</v>
      </c>
      <c r="I30" s="4" t="b">
        <f t="shared" si="1"/>
        <v>1</v>
      </c>
      <c r="J30" s="50">
        <v>413.13</v>
      </c>
      <c r="K30" s="50" t="str">
        <f>IF(OR(Table1[[#This Row],[Price]]&gt;$S$20,Table1[[#This Row],[Price]]&lt;$T$19),"Outlier","OK")</f>
        <v>OK</v>
      </c>
      <c r="L30" s="5" t="b">
        <f t="shared" si="2"/>
        <v>1</v>
      </c>
      <c r="M30" s="1" t="s">
        <v>15</v>
      </c>
      <c r="N30" s="1" t="s">
        <v>16</v>
      </c>
      <c r="O30" s="14">
        <f>Table1[[#This Row],[Price]]*Table1[[#This Row],[Quantity]]</f>
        <v>826.26</v>
      </c>
      <c r="P30" s="14" t="str">
        <f t="shared" si="3"/>
        <v>OK</v>
      </c>
    </row>
    <row r="31" spans="1:20" customFormat="1">
      <c r="A31" s="21">
        <v>180</v>
      </c>
      <c r="B31" s="1" t="s">
        <v>212</v>
      </c>
      <c r="C31" s="1" t="s">
        <v>213</v>
      </c>
      <c r="D31" s="2">
        <v>45742</v>
      </c>
      <c r="E31" s="1" t="s">
        <v>140</v>
      </c>
      <c r="F31" s="1" t="str">
        <f>VLOOKUP(E31,Mapping!$A$1:$B$20,2,FALSE)</f>
        <v>Electronics</v>
      </c>
      <c r="G31" s="4">
        <v>2</v>
      </c>
      <c r="H31" s="4" t="str">
        <f t="shared" si="0"/>
        <v>OK</v>
      </c>
      <c r="I31" s="4" t="b">
        <f t="shared" si="1"/>
        <v>1</v>
      </c>
      <c r="J31" s="50">
        <v>418.38</v>
      </c>
      <c r="K31" s="50" t="str">
        <f>IF(OR(Table1[[#This Row],[Price]]&gt;$S$20,Table1[[#This Row],[Price]]&lt;$T$19),"Outlier","OK")</f>
        <v>OK</v>
      </c>
      <c r="L31" s="5" t="b">
        <f t="shared" si="2"/>
        <v>1</v>
      </c>
      <c r="M31" s="1" t="s">
        <v>49</v>
      </c>
      <c r="N31" s="1" t="s">
        <v>23</v>
      </c>
      <c r="O31" s="14">
        <f>Table1[[#This Row],[Price]]*Table1[[#This Row],[Quantity]]</f>
        <v>836.76</v>
      </c>
      <c r="P31" s="14" t="str">
        <f>IF(AND(O31&lt;0,O31&lt;&gt;N47),"ERORR","OK")</f>
        <v>OK</v>
      </c>
    </row>
    <row r="32" spans="1:20" customFormat="1">
      <c r="A32" s="21">
        <v>161</v>
      </c>
      <c r="B32" s="1" t="s">
        <v>174</v>
      </c>
      <c r="C32" s="1" t="s">
        <v>175</v>
      </c>
      <c r="D32" s="2">
        <v>45641</v>
      </c>
      <c r="E32" s="1" t="s">
        <v>31</v>
      </c>
      <c r="F32" s="1" t="str">
        <f>VLOOKUP(E32,Mapping!$A$1:$B$20,2,FALSE)</f>
        <v>Books</v>
      </c>
      <c r="G32" s="4">
        <v>4</v>
      </c>
      <c r="H32" s="4" t="str">
        <f t="shared" si="0"/>
        <v>OK</v>
      </c>
      <c r="I32" s="4" t="b">
        <f t="shared" si="1"/>
        <v>1</v>
      </c>
      <c r="J32" s="50">
        <v>209.32</v>
      </c>
      <c r="K32" s="50" t="str">
        <f>IF(OR(Table1[[#This Row],[Price]]&gt;$S$20,Table1[[#This Row],[Price]]&lt;$T$19),"Outlier","OK")</f>
        <v>OK</v>
      </c>
      <c r="L32" s="5" t="b">
        <f t="shared" si="2"/>
        <v>1</v>
      </c>
      <c r="M32" s="1" t="s">
        <v>41</v>
      </c>
      <c r="N32" s="1" t="s">
        <v>16</v>
      </c>
      <c r="O32" s="14">
        <f>Table1[[#This Row],[Price]]*Table1[[#This Row],[Quantity]]</f>
        <v>837.28</v>
      </c>
      <c r="P32" s="14" t="str">
        <f>IF(AND(O32&lt;0,O32&lt;&gt;N47),"ERORR","OK")</f>
        <v>OK</v>
      </c>
    </row>
    <row r="33" spans="1:16" customFormat="1">
      <c r="A33" s="21">
        <v>109</v>
      </c>
      <c r="B33" s="1" t="s">
        <v>47</v>
      </c>
      <c r="C33" s="1" t="s">
        <v>48</v>
      </c>
      <c r="D33" s="2">
        <v>45780</v>
      </c>
      <c r="E33" s="1" t="s">
        <v>26</v>
      </c>
      <c r="F33" s="1" t="str">
        <f>VLOOKUP(E33,Mapping!$A$1:$B$20,2,FALSE)</f>
        <v>Sports</v>
      </c>
      <c r="G33" s="4">
        <v>5</v>
      </c>
      <c r="H33" s="4" t="str">
        <f t="shared" ref="H33:H63" si="4">IF(AND(G33&lt;0,G33&lt;&gt;$N$4),"ERORR","OK")</f>
        <v>OK</v>
      </c>
      <c r="I33" s="4" t="b">
        <f t="shared" ref="I33:I63" si="5">ISNUMBER(G33)</f>
        <v>1</v>
      </c>
      <c r="J33" s="50">
        <v>168.34</v>
      </c>
      <c r="K33" s="50" t="str">
        <f>IF(OR(Table1[[#This Row],[Price]]&gt;$S$20,Table1[[#This Row],[Price]]&lt;$T$19),"Outlier","OK")</f>
        <v>OK</v>
      </c>
      <c r="L33" s="5" t="b">
        <f t="shared" ref="L33:L63" si="6">ISNUMBER(J33)</f>
        <v>1</v>
      </c>
      <c r="M33" s="1" t="s">
        <v>49</v>
      </c>
      <c r="N33" s="1" t="s">
        <v>16</v>
      </c>
      <c r="O33" s="14">
        <f>Table1[[#This Row],[Price]]*Table1[[#This Row],[Quantity]]</f>
        <v>841.7</v>
      </c>
      <c r="P33" s="14" t="str">
        <f>IF(AND(O33&lt;0,O33&lt;&gt;Table1[[#This Row],[Status]]),"ERORR","OK")</f>
        <v>OK</v>
      </c>
    </row>
    <row r="34" spans="1:16" customFormat="1">
      <c r="A34" s="21">
        <v>165</v>
      </c>
      <c r="B34" s="1" t="s">
        <v>182</v>
      </c>
      <c r="C34" s="1" t="s">
        <v>183</v>
      </c>
      <c r="D34" s="2">
        <v>45604</v>
      </c>
      <c r="E34" s="1" t="s">
        <v>59</v>
      </c>
      <c r="F34" s="1" t="str">
        <f>VLOOKUP(E34,Mapping!$A$1:$B$20,2,FALSE)</f>
        <v>Clothings</v>
      </c>
      <c r="G34" s="4">
        <v>2</v>
      </c>
      <c r="H34" s="4" t="str">
        <f t="shared" si="4"/>
        <v>OK</v>
      </c>
      <c r="I34" s="4" t="b">
        <f t="shared" si="5"/>
        <v>1</v>
      </c>
      <c r="J34" s="50">
        <v>645</v>
      </c>
      <c r="K34" s="50" t="str">
        <f>IF(OR(Table1[[#This Row],[Price]]&gt;$S$20,Table1[[#This Row],[Price]]&lt;$T$19),"Outlier","OK")</f>
        <v>OK</v>
      </c>
      <c r="L34" s="5" t="b">
        <f t="shared" si="6"/>
        <v>1</v>
      </c>
      <c r="M34" s="1" t="s">
        <v>49</v>
      </c>
      <c r="N34" s="1" t="s">
        <v>28</v>
      </c>
      <c r="O34" s="14">
        <f>Table1[[#This Row],[Price]]*Table1[[#This Row],[Quantity]]</f>
        <v>1290</v>
      </c>
      <c r="P34" s="14" t="str">
        <f>IF(AND(O34&lt;0,O34&lt;&gt;N50),"ERORR","OK")</f>
        <v>OK</v>
      </c>
    </row>
    <row r="35" spans="1:16" customFormat="1">
      <c r="A35" s="21">
        <v>190</v>
      </c>
      <c r="B35" s="1" t="s">
        <v>232</v>
      </c>
      <c r="C35" s="1" t="s">
        <v>233</v>
      </c>
      <c r="D35" s="2">
        <v>45837</v>
      </c>
      <c r="E35" s="1" t="s">
        <v>88</v>
      </c>
      <c r="F35" s="1" t="str">
        <f>VLOOKUP(E35,Mapping!$A$1:$B$20,2,FALSE)</f>
        <v>Home</v>
      </c>
      <c r="G35" s="4">
        <v>1</v>
      </c>
      <c r="H35" s="4" t="str">
        <f t="shared" si="4"/>
        <v>OK</v>
      </c>
      <c r="I35" s="4" t="b">
        <f t="shared" si="5"/>
        <v>1</v>
      </c>
      <c r="J35" s="50">
        <v>920.37</v>
      </c>
      <c r="K35" s="50" t="str">
        <f>IF(OR(Table1[[#This Row],[Price]]&gt;$S$20,Table1[[#This Row],[Price]]&lt;$T$19),"Outlier","OK")</f>
        <v>OK</v>
      </c>
      <c r="L35" s="5" t="b">
        <f t="shared" si="6"/>
        <v>1</v>
      </c>
      <c r="M35" s="1" t="s">
        <v>41</v>
      </c>
      <c r="N35" s="1" t="s">
        <v>23</v>
      </c>
      <c r="O35" s="14">
        <f>Table1[[#This Row],[Price]]*Table1[[#This Row],[Quantity]]</f>
        <v>920.37</v>
      </c>
      <c r="P35" s="14" t="str">
        <f>IF(AND(O35&lt;0,O35&lt;&gt;N50),"ERORR","OK")</f>
        <v>OK</v>
      </c>
    </row>
    <row r="36" spans="1:16" customFormat="1">
      <c r="A36" s="21">
        <v>158</v>
      </c>
      <c r="B36" s="1" t="s">
        <v>168</v>
      </c>
      <c r="C36" s="1" t="s">
        <v>169</v>
      </c>
      <c r="D36" s="2">
        <v>45752</v>
      </c>
      <c r="E36" s="1" t="s">
        <v>117</v>
      </c>
      <c r="F36" s="1" t="str">
        <f>VLOOKUP(E36,Mapping!$A$1:$B$20,2,FALSE)</f>
        <v>Electronics</v>
      </c>
      <c r="G36" s="4">
        <v>1</v>
      </c>
      <c r="H36" s="4" t="str">
        <f t="shared" si="4"/>
        <v>OK</v>
      </c>
      <c r="I36" s="4" t="b">
        <f t="shared" si="5"/>
        <v>1</v>
      </c>
      <c r="J36" s="50">
        <v>933.58</v>
      </c>
      <c r="K36" s="50" t="str">
        <f>IF(OR(Table1[[#This Row],[Price]]&gt;$S$20,Table1[[#This Row],[Price]]&lt;$T$19),"Outlier","OK")</f>
        <v>OK</v>
      </c>
      <c r="L36" s="5" t="b">
        <f t="shared" si="6"/>
        <v>1</v>
      </c>
      <c r="M36" s="1" t="s">
        <v>15</v>
      </c>
      <c r="N36" s="1" t="s">
        <v>16</v>
      </c>
      <c r="O36" s="14">
        <f>Table1[[#This Row],[Price]]*Table1[[#This Row],[Quantity]]</f>
        <v>933.58</v>
      </c>
      <c r="P36" s="14" t="str">
        <f>IF(AND(O36&lt;0,O36&lt;&gt;N51),"ERORR","OK")</f>
        <v>OK</v>
      </c>
    </row>
    <row r="37" spans="1:16" customFormat="1">
      <c r="A37" s="21">
        <v>198</v>
      </c>
      <c r="B37" s="1" t="s">
        <v>246</v>
      </c>
      <c r="C37" s="1" t="s">
        <v>247</v>
      </c>
      <c r="D37" s="2">
        <v>45865</v>
      </c>
      <c r="E37" s="1" t="s">
        <v>88</v>
      </c>
      <c r="F37" s="1" t="str">
        <f>VLOOKUP(E37,Mapping!$A$1:$B$20,2,FALSE)</f>
        <v>Home</v>
      </c>
      <c r="G37" s="4">
        <v>2</v>
      </c>
      <c r="H37" s="4" t="str">
        <f t="shared" si="4"/>
        <v>OK</v>
      </c>
      <c r="I37" s="4" t="b">
        <f t="shared" si="5"/>
        <v>1</v>
      </c>
      <c r="J37" s="50">
        <v>497.01</v>
      </c>
      <c r="K37" s="50" t="str">
        <f>IF(OR(Table1[[#This Row],[Price]]&gt;$S$20,Table1[[#This Row],[Price]]&lt;$T$19),"Outlier","OK")</f>
        <v>OK</v>
      </c>
      <c r="L37" s="5" t="b">
        <f t="shared" si="6"/>
        <v>1</v>
      </c>
      <c r="M37" s="1" t="s">
        <v>15</v>
      </c>
      <c r="N37" s="1" t="s">
        <v>16</v>
      </c>
      <c r="O37" s="14">
        <f>Table1[[#This Row],[Price]]*Table1[[#This Row],[Quantity]]</f>
        <v>994.02</v>
      </c>
      <c r="P37" s="14" t="str">
        <f>IF(AND(O37&lt;0,O37&lt;&gt;N52),"ERORR","OK")</f>
        <v>OK</v>
      </c>
    </row>
    <row r="38" spans="1:16" customFormat="1">
      <c r="A38" s="21">
        <v>185</v>
      </c>
      <c r="B38" s="1" t="s">
        <v>222</v>
      </c>
      <c r="C38" s="1" t="s">
        <v>223</v>
      </c>
      <c r="D38" s="2">
        <v>45883</v>
      </c>
      <c r="E38" s="1" t="s">
        <v>137</v>
      </c>
      <c r="F38" s="1" t="str">
        <f>VLOOKUP(E38,Mapping!$A$1:$B$20,2,FALSE)</f>
        <v>Sports</v>
      </c>
      <c r="G38" s="4">
        <v>2</v>
      </c>
      <c r="H38" s="4" t="str">
        <f t="shared" si="4"/>
        <v>OK</v>
      </c>
      <c r="I38" s="4" t="b">
        <f t="shared" si="5"/>
        <v>1</v>
      </c>
      <c r="J38" s="50">
        <v>730.92</v>
      </c>
      <c r="K38" s="50" t="str">
        <f>IF(OR(Table1[[#This Row],[Price]]&gt;$S$20,Table1[[#This Row],[Price]]&lt;$T$19),"Outlier","OK")</f>
        <v>OK</v>
      </c>
      <c r="L38" s="5" t="b">
        <f t="shared" si="6"/>
        <v>1</v>
      </c>
      <c r="M38" s="1" t="s">
        <v>15</v>
      </c>
      <c r="N38" s="1" t="s">
        <v>38</v>
      </c>
      <c r="O38" s="14">
        <v>0</v>
      </c>
      <c r="P38" s="14" t="str">
        <f>IF(AND(O38&lt;0,O38&lt;&gt;N54),"ERORR","OK")</f>
        <v>OK</v>
      </c>
    </row>
    <row r="39" spans="1:16" customFormat="1">
      <c r="A39" s="21">
        <v>157</v>
      </c>
      <c r="B39" s="1" t="s">
        <v>166</v>
      </c>
      <c r="C39" s="1" t="s">
        <v>167</v>
      </c>
      <c r="D39" s="2">
        <v>45967</v>
      </c>
      <c r="E39" s="1" t="s">
        <v>145</v>
      </c>
      <c r="F39" s="1" t="str">
        <f>VLOOKUP(E39,Mapping!$A$1:$B$20,2,FALSE)</f>
        <v>Clothings</v>
      </c>
      <c r="G39" s="4">
        <v>4</v>
      </c>
      <c r="H39" s="4" t="str">
        <f t="shared" si="4"/>
        <v>OK</v>
      </c>
      <c r="I39" s="4" t="b">
        <f t="shared" si="5"/>
        <v>1</v>
      </c>
      <c r="J39" s="50">
        <v>275.10000000000002</v>
      </c>
      <c r="K39" s="50" t="str">
        <f>IF(OR(Table1[[#This Row],[Price]]&gt;$S$20,Table1[[#This Row],[Price]]&lt;$T$19),"Outlier","OK")</f>
        <v>OK</v>
      </c>
      <c r="L39" s="5" t="b">
        <f t="shared" si="6"/>
        <v>1</v>
      </c>
      <c r="M39" s="1" t="s">
        <v>41</v>
      </c>
      <c r="N39" s="1" t="s">
        <v>23</v>
      </c>
      <c r="O39" s="14">
        <f>Table1[[#This Row],[Price]]*Table1[[#This Row],[Quantity]]</f>
        <v>1100.4000000000001</v>
      </c>
      <c r="P39" s="14" t="str">
        <f>IF(AND(O39&lt;0,O39&lt;&gt;N55),"ERORR","OK")</f>
        <v>OK</v>
      </c>
    </row>
    <row r="40" spans="1:16" customFormat="1">
      <c r="A40" s="21">
        <v>122</v>
      </c>
      <c r="B40" s="1" t="s">
        <v>84</v>
      </c>
      <c r="C40" s="1" t="s">
        <v>85</v>
      </c>
      <c r="D40" s="2">
        <v>45793</v>
      </c>
      <c r="E40" s="1" t="s">
        <v>70</v>
      </c>
      <c r="F40" s="1" t="str">
        <f>VLOOKUP(E40,Mapping!$A$1:$B$20,2,FALSE)</f>
        <v>Home</v>
      </c>
      <c r="G40" s="4">
        <v>2</v>
      </c>
      <c r="H40" s="4" t="str">
        <f t="shared" si="4"/>
        <v>OK</v>
      </c>
      <c r="I40" s="4" t="b">
        <f t="shared" si="5"/>
        <v>1</v>
      </c>
      <c r="J40" s="50">
        <v>556.92999999999995</v>
      </c>
      <c r="K40" s="50" t="str">
        <f>IF(OR(Table1[[#This Row],[Price]]&gt;$S$20,Table1[[#This Row],[Price]]&lt;$T$19),"Outlier","OK")</f>
        <v>OK</v>
      </c>
      <c r="L40" s="5" t="b">
        <f t="shared" si="6"/>
        <v>1</v>
      </c>
      <c r="M40" s="1" t="s">
        <v>22</v>
      </c>
      <c r="N40" s="1" t="s">
        <v>16</v>
      </c>
      <c r="O40" s="14">
        <f>Table1[[#This Row],[Price]]*Table1[[#This Row],[Quantity]]</f>
        <v>1113.8599999999999</v>
      </c>
      <c r="P40" s="14" t="str">
        <f>IF(AND(O40&lt;0,O40&lt;&gt;N55),"ERORR","OK")</f>
        <v>OK</v>
      </c>
    </row>
    <row r="41" spans="1:16" customFormat="1">
      <c r="A41" s="21">
        <v>115</v>
      </c>
      <c r="B41" s="1" t="s">
        <v>66</v>
      </c>
      <c r="C41" s="1" t="s">
        <v>67</v>
      </c>
      <c r="D41" s="2">
        <v>45667</v>
      </c>
      <c r="E41" s="1" t="s">
        <v>63</v>
      </c>
      <c r="F41" s="1" t="str">
        <f>VLOOKUP(E41,Mapping!$A$1:$B$20,2,FALSE)</f>
        <v>Books</v>
      </c>
      <c r="G41" s="4">
        <v>2</v>
      </c>
      <c r="H41" s="4" t="str">
        <f t="shared" si="4"/>
        <v>OK</v>
      </c>
      <c r="I41" s="4" t="b">
        <f t="shared" si="5"/>
        <v>1</v>
      </c>
      <c r="J41" s="50">
        <v>796.84</v>
      </c>
      <c r="K41" s="50" t="str">
        <f>IF(OR(Table1[[#This Row],[Price]]&gt;$S$20,Table1[[#This Row],[Price]]&lt;$T$19),"Outlier","OK")</f>
        <v>OK</v>
      </c>
      <c r="L41" s="5" t="b">
        <f t="shared" si="6"/>
        <v>1</v>
      </c>
      <c r="M41" s="1" t="s">
        <v>15</v>
      </c>
      <c r="N41" s="1" t="s">
        <v>44</v>
      </c>
      <c r="O41" s="14">
        <v>0</v>
      </c>
      <c r="P41" s="14" t="str">
        <f>IF(AND(O41&lt;0,O41&lt;&gt;N55),"ERORR","OK")</f>
        <v>OK</v>
      </c>
    </row>
    <row r="42" spans="1:16" customFormat="1">
      <c r="A42" s="21">
        <v>153</v>
      </c>
      <c r="B42" s="1" t="s">
        <v>156</v>
      </c>
      <c r="C42" s="1" t="s">
        <v>157</v>
      </c>
      <c r="D42" s="2">
        <v>45854</v>
      </c>
      <c r="E42" s="1" t="s">
        <v>80</v>
      </c>
      <c r="F42" s="1" t="str">
        <f>VLOOKUP(E42,Mapping!$A$1:$B$20,2,FALSE)</f>
        <v>Sports</v>
      </c>
      <c r="G42" s="4">
        <v>4</v>
      </c>
      <c r="H42" s="4" t="str">
        <f t="shared" si="4"/>
        <v>OK</v>
      </c>
      <c r="I42" s="4" t="b">
        <f t="shared" si="5"/>
        <v>1</v>
      </c>
      <c r="J42" s="50">
        <v>278.89999999999998</v>
      </c>
      <c r="K42" s="50" t="str">
        <f>IF(OR(Table1[[#This Row],[Price]]&gt;$S$20,Table1[[#This Row],[Price]]&lt;$T$19),"Outlier","OK")</f>
        <v>OK</v>
      </c>
      <c r="L42" s="5" t="b">
        <f t="shared" si="6"/>
        <v>1</v>
      </c>
      <c r="M42" s="1" t="s">
        <v>15</v>
      </c>
      <c r="N42" s="1" t="s">
        <v>23</v>
      </c>
      <c r="O42" s="14">
        <f>Table1[[#This Row],[Price]]*Table1[[#This Row],[Quantity]]</f>
        <v>1115.5999999999999</v>
      </c>
      <c r="P42" s="14" t="str">
        <f>IF(AND(O42&lt;0,O42&lt;&gt;N57),"ERORR","OK")</f>
        <v>OK</v>
      </c>
    </row>
    <row r="43" spans="1:16" customFormat="1">
      <c r="A43" s="21">
        <v>166</v>
      </c>
      <c r="B43" s="1" t="s">
        <v>184</v>
      </c>
      <c r="C43" s="1" t="s">
        <v>185</v>
      </c>
      <c r="D43" s="2">
        <v>45841</v>
      </c>
      <c r="E43" s="1" t="s">
        <v>114</v>
      </c>
      <c r="F43" s="1" t="str">
        <f>VLOOKUP(E43,Mapping!$A$1:$B$20,2,FALSE)</f>
        <v>Clothings</v>
      </c>
      <c r="G43" s="4">
        <v>2</v>
      </c>
      <c r="H43" s="4" t="str">
        <f t="shared" si="4"/>
        <v>OK</v>
      </c>
      <c r="I43" s="4" t="b">
        <f t="shared" si="5"/>
        <v>1</v>
      </c>
      <c r="J43" s="50">
        <v>569.38</v>
      </c>
      <c r="K43" s="50" t="str">
        <f>IF(OR(Table1[[#This Row],[Price]]&gt;$S$20,Table1[[#This Row],[Price]]&lt;$T$19),"Outlier","OK")</f>
        <v>OK</v>
      </c>
      <c r="L43" s="5" t="b">
        <f t="shared" si="6"/>
        <v>1</v>
      </c>
      <c r="M43" s="1" t="s">
        <v>15</v>
      </c>
      <c r="N43" s="1" t="s">
        <v>16</v>
      </c>
      <c r="O43" s="14">
        <f>Table1[[#This Row],[Price]]*Table1[[#This Row],[Quantity]]</f>
        <v>1138.76</v>
      </c>
      <c r="P43" s="14" t="str">
        <f>IF(AND(O43&lt;0,O43&lt;&gt;N58),"ERORR","OK")</f>
        <v>OK</v>
      </c>
    </row>
    <row r="44" spans="1:16" customFormat="1">
      <c r="A44" s="21">
        <v>103</v>
      </c>
      <c r="B44" s="1" t="s">
        <v>29</v>
      </c>
      <c r="C44" s="1" t="s">
        <v>30</v>
      </c>
      <c r="D44" s="2">
        <v>45735</v>
      </c>
      <c r="E44" s="1" t="s">
        <v>31</v>
      </c>
      <c r="F44" s="1" t="str">
        <f>VLOOKUP(E44,Mapping!$A$1:$B$20,2,FALSE)</f>
        <v>Books</v>
      </c>
      <c r="G44" s="4">
        <v>5</v>
      </c>
      <c r="H44" s="4" t="str">
        <f t="shared" si="4"/>
        <v>OK</v>
      </c>
      <c r="I44" s="4" t="b">
        <f t="shared" si="5"/>
        <v>1</v>
      </c>
      <c r="J44" s="50">
        <v>233.92</v>
      </c>
      <c r="K44" s="50" t="str">
        <f>IF(OR(Table1[[#This Row],[Price]]&gt;$S$20,Table1[[#This Row],[Price]]&lt;$T$19),"Outlier","OK")</f>
        <v>OK</v>
      </c>
      <c r="L44" s="5" t="b">
        <f t="shared" si="6"/>
        <v>1</v>
      </c>
      <c r="M44" s="1" t="s">
        <v>22</v>
      </c>
      <c r="N44" s="1" t="s">
        <v>23</v>
      </c>
      <c r="O44" s="14">
        <f>Table1[[#This Row],[Price]]*Table1[[#This Row],[Quantity]]</f>
        <v>1169.5999999999999</v>
      </c>
      <c r="P44" s="14" t="str">
        <f>IF(AND(O44&lt;0,O44&lt;&gt;N59),"ERORR","OK")</f>
        <v>OK</v>
      </c>
    </row>
    <row r="45" spans="1:16" customFormat="1">
      <c r="A45" s="21">
        <v>160</v>
      </c>
      <c r="B45" s="1" t="s">
        <v>172</v>
      </c>
      <c r="C45" s="1" t="s">
        <v>173</v>
      </c>
      <c r="D45" s="2">
        <v>45660</v>
      </c>
      <c r="E45" s="1" t="s">
        <v>31</v>
      </c>
      <c r="F45" s="1" t="str">
        <f>VLOOKUP(E45,Mapping!$A$1:$B$20,2,FALSE)</f>
        <v>Books</v>
      </c>
      <c r="G45" s="4">
        <v>5</v>
      </c>
      <c r="H45" s="4" t="str">
        <f t="shared" si="4"/>
        <v>OK</v>
      </c>
      <c r="I45" s="4" t="b">
        <f t="shared" si="5"/>
        <v>1</v>
      </c>
      <c r="J45" s="50">
        <v>242.52</v>
      </c>
      <c r="K45" s="50" t="str">
        <f>IF(OR(Table1[[#This Row],[Price]]&gt;$S$20,Table1[[#This Row],[Price]]&lt;$T$19),"Outlier","OK")</f>
        <v>OK</v>
      </c>
      <c r="L45" s="5" t="b">
        <f t="shared" si="6"/>
        <v>1</v>
      </c>
      <c r="M45" s="1" t="s">
        <v>15</v>
      </c>
      <c r="N45" s="1" t="s">
        <v>44</v>
      </c>
      <c r="O45" s="14">
        <v>0</v>
      </c>
      <c r="P45" s="14" t="str">
        <f>IF(AND(O45&lt;0,O45&lt;&gt;N59),"ERORR","OK")</f>
        <v>OK</v>
      </c>
    </row>
    <row r="46" spans="1:16" customFormat="1">
      <c r="A46" s="21">
        <v>118</v>
      </c>
      <c r="B46" s="1" t="s">
        <v>74</v>
      </c>
      <c r="C46" s="1" t="s">
        <v>75</v>
      </c>
      <c r="D46" s="2">
        <v>45808</v>
      </c>
      <c r="E46" s="1" t="s">
        <v>31</v>
      </c>
      <c r="F46" s="1" t="str">
        <f>VLOOKUP(E46,Mapping!$A$1:$B$20,2,FALSE)</f>
        <v>Books</v>
      </c>
      <c r="G46" s="4">
        <v>5</v>
      </c>
      <c r="H46" s="4" t="str">
        <f t="shared" si="4"/>
        <v>OK</v>
      </c>
      <c r="I46" s="4" t="b">
        <f t="shared" si="5"/>
        <v>1</v>
      </c>
      <c r="J46" s="50">
        <v>247.82</v>
      </c>
      <c r="K46" s="50" t="str">
        <f>IF(OR(Table1[[#This Row],[Price]]&gt;$S$20,Table1[[#This Row],[Price]]&lt;$T$19),"Outlier","OK")</f>
        <v>OK</v>
      </c>
      <c r="L46" s="5" t="b">
        <f t="shared" si="6"/>
        <v>1</v>
      </c>
      <c r="M46" s="1" t="s">
        <v>22</v>
      </c>
      <c r="N46" s="1" t="s">
        <v>23</v>
      </c>
      <c r="O46" s="14">
        <f>Table1[[#This Row],[Price]]*Table1[[#This Row],[Quantity]]</f>
        <v>1239.0999999999999</v>
      </c>
      <c r="P46" s="14" t="str">
        <f>IF(AND(O46&lt;0,O46&lt;&gt;N61),"ERORR","OK")</f>
        <v>OK</v>
      </c>
    </row>
    <row r="47" spans="1:16" customFormat="1">
      <c r="A47" s="21">
        <v>139</v>
      </c>
      <c r="B47" s="1" t="s">
        <v>125</v>
      </c>
      <c r="C47" s="1" t="s">
        <v>126</v>
      </c>
      <c r="D47" s="2">
        <v>45697</v>
      </c>
      <c r="E47" s="1" t="s">
        <v>19</v>
      </c>
      <c r="F47" s="1" t="str">
        <f>VLOOKUP(E47,Mapping!$A$1:$B$20,2,FALSE)</f>
        <v>Electronics</v>
      </c>
      <c r="G47" s="4">
        <v>2</v>
      </c>
      <c r="H47" s="4" t="str">
        <f t="shared" si="4"/>
        <v>OK</v>
      </c>
      <c r="I47" s="4" t="b">
        <f t="shared" si="5"/>
        <v>1</v>
      </c>
      <c r="J47" s="50">
        <v>681.38</v>
      </c>
      <c r="K47" s="50" t="str">
        <f>IF(OR(Table1[[#This Row],[Price]]&gt;$S$20,Table1[[#This Row],[Price]]&lt;$T$19),"Outlier","OK")</f>
        <v>OK</v>
      </c>
      <c r="L47" s="5" t="b">
        <f t="shared" si="6"/>
        <v>1</v>
      </c>
      <c r="M47" s="1" t="s">
        <v>49</v>
      </c>
      <c r="N47" s="1" t="s">
        <v>38</v>
      </c>
      <c r="O47" s="14">
        <v>0</v>
      </c>
      <c r="P47" s="14" t="str">
        <f>IF(AND(O47&lt;0,O47&lt;&gt;N63),"ERORR","OK")</f>
        <v>OK</v>
      </c>
    </row>
    <row r="48" spans="1:16" customFormat="1">
      <c r="A48" s="21">
        <v>146</v>
      </c>
      <c r="B48" s="1" t="s">
        <v>141</v>
      </c>
      <c r="C48" s="1" t="s">
        <v>142</v>
      </c>
      <c r="D48" s="2">
        <v>45847</v>
      </c>
      <c r="E48" s="1" t="s">
        <v>52</v>
      </c>
      <c r="F48" s="1" t="str">
        <f>VLOOKUP(E48,Mapping!$A$1:$B$20,2,FALSE)</f>
        <v>Sports</v>
      </c>
      <c r="G48" s="4">
        <v>2</v>
      </c>
      <c r="H48" s="4" t="str">
        <f t="shared" si="4"/>
        <v>OK</v>
      </c>
      <c r="I48" s="4" t="b">
        <f t="shared" si="5"/>
        <v>1</v>
      </c>
      <c r="J48" s="50">
        <v>705.42</v>
      </c>
      <c r="K48" s="50" t="str">
        <f>IF(OR(Table1[[#This Row],[Price]]&gt;$S$20,Table1[[#This Row],[Price]]&lt;$T$19),"Outlier","OK")</f>
        <v>OK</v>
      </c>
      <c r="L48" s="5" t="b">
        <f t="shared" si="6"/>
        <v>1</v>
      </c>
      <c r="M48" s="1" t="s">
        <v>41</v>
      </c>
      <c r="N48" s="1" t="s">
        <v>23</v>
      </c>
      <c r="O48" s="14">
        <f>Table1[[#This Row],[Price]]*Table1[[#This Row],[Quantity]]</f>
        <v>1410.84</v>
      </c>
      <c r="P48" s="14" t="str">
        <f>IF(AND(O48&lt;0,O48&lt;&gt;N63),"ERORR","OK")</f>
        <v>OK</v>
      </c>
    </row>
    <row r="49" spans="1:16" customFormat="1">
      <c r="A49" s="21">
        <v>178</v>
      </c>
      <c r="B49" s="1" t="s">
        <v>208</v>
      </c>
      <c r="C49" s="1" t="s">
        <v>209</v>
      </c>
      <c r="D49" s="2">
        <v>45918</v>
      </c>
      <c r="E49" s="1" t="s">
        <v>26</v>
      </c>
      <c r="F49" s="1" t="str">
        <f>VLOOKUP(E49,Mapping!$A$1:$B$20,2,FALSE)</f>
        <v>Sports</v>
      </c>
      <c r="G49" s="4">
        <v>3</v>
      </c>
      <c r="H49" s="4" t="str">
        <f t="shared" si="4"/>
        <v>OK</v>
      </c>
      <c r="I49" s="4" t="b">
        <f t="shared" si="5"/>
        <v>1</v>
      </c>
      <c r="J49" s="50">
        <v>472.14</v>
      </c>
      <c r="K49" s="50" t="str">
        <f>IF(OR(Table1[[#This Row],[Price]]&gt;$S$20,Table1[[#This Row],[Price]]&lt;$T$19),"Outlier","OK")</f>
        <v>OK</v>
      </c>
      <c r="L49" s="5" t="b">
        <f t="shared" si="6"/>
        <v>1</v>
      </c>
      <c r="M49" s="1" t="s">
        <v>22</v>
      </c>
      <c r="N49" s="1" t="s">
        <v>44</v>
      </c>
      <c r="O49" s="14">
        <v>0</v>
      </c>
      <c r="P49" s="14" t="str">
        <f>IF(AND(O49&lt;0,O49&lt;&gt;N66),"ERORR","OK")</f>
        <v>OK</v>
      </c>
    </row>
    <row r="50" spans="1:16" customFormat="1">
      <c r="A50" s="21">
        <v>120</v>
      </c>
      <c r="B50" s="1" t="s">
        <v>78</v>
      </c>
      <c r="C50" s="1" t="s">
        <v>79</v>
      </c>
      <c r="D50" s="2">
        <v>45821</v>
      </c>
      <c r="E50" s="1" t="s">
        <v>80</v>
      </c>
      <c r="F50" s="1" t="str">
        <f>VLOOKUP(E50,Mapping!$A$1:$B$20,2,FALSE)</f>
        <v>Sports</v>
      </c>
      <c r="G50" s="4">
        <v>5</v>
      </c>
      <c r="H50" s="4" t="str">
        <f t="shared" si="4"/>
        <v>OK</v>
      </c>
      <c r="I50" s="4" t="b">
        <f t="shared" si="5"/>
        <v>1</v>
      </c>
      <c r="J50" s="50">
        <v>300</v>
      </c>
      <c r="K50" s="50" t="str">
        <f>IF(OR(Table1[[#This Row],[Price]]&gt;$S$20,Table1[[#This Row],[Price]]&lt;$T$19),"Outlier","OK")</f>
        <v>OK</v>
      </c>
      <c r="L50" s="5" t="b">
        <f t="shared" si="6"/>
        <v>1</v>
      </c>
      <c r="M50" s="1" t="s">
        <v>49</v>
      </c>
      <c r="N50" s="1" t="s">
        <v>38</v>
      </c>
      <c r="O50" s="14">
        <v>0</v>
      </c>
      <c r="P50" s="14" t="str">
        <f>IF(AND(O50&lt;0,O50&lt;&gt;Table1[[#This Row],[Status]]),"ERORR","OK")</f>
        <v>OK</v>
      </c>
    </row>
    <row r="51" spans="1:16" customFormat="1">
      <c r="A51" s="21">
        <v>141</v>
      </c>
      <c r="B51" s="1" t="s">
        <v>129</v>
      </c>
      <c r="C51" s="1" t="s">
        <v>130</v>
      </c>
      <c r="D51" s="2">
        <v>45701</v>
      </c>
      <c r="E51" s="1" t="s">
        <v>63</v>
      </c>
      <c r="F51" s="1" t="str">
        <f>VLOOKUP(E51,Mapping!$A$1:$B$20,2,FALSE)</f>
        <v>Books</v>
      </c>
      <c r="G51" s="4">
        <v>3</v>
      </c>
      <c r="H51" s="4" t="str">
        <f t="shared" si="4"/>
        <v>OK</v>
      </c>
      <c r="I51" s="4" t="b">
        <f t="shared" si="5"/>
        <v>1</v>
      </c>
      <c r="J51" s="50">
        <v>546.04</v>
      </c>
      <c r="K51" s="50" t="str">
        <f>IF(OR(Table1[[#This Row],[Price]]&gt;$S$20,Table1[[#This Row],[Price]]&lt;$T$19),"Outlier","OK")</f>
        <v>OK</v>
      </c>
      <c r="L51" s="5" t="b">
        <f t="shared" si="6"/>
        <v>1</v>
      </c>
      <c r="M51" s="1" t="s">
        <v>15</v>
      </c>
      <c r="N51" s="1" t="s">
        <v>44</v>
      </c>
      <c r="O51" s="14">
        <v>0</v>
      </c>
      <c r="P51" s="14" t="str">
        <f>IF(AND(O51&lt;0,O51&lt;&gt;N67),"ERORR","OK")</f>
        <v>OK</v>
      </c>
    </row>
    <row r="52" spans="1:16" customFormat="1">
      <c r="A52" s="21">
        <v>127</v>
      </c>
      <c r="B52" s="1" t="s">
        <v>95</v>
      </c>
      <c r="C52" s="1" t="s">
        <v>96</v>
      </c>
      <c r="D52" s="2">
        <v>45789</v>
      </c>
      <c r="E52" s="1" t="s">
        <v>13</v>
      </c>
      <c r="F52" s="1" t="str">
        <f>VLOOKUP(E52,Mapping!$A$1:$B$20,2,FALSE)</f>
        <v>Home</v>
      </c>
      <c r="G52" s="4">
        <v>5</v>
      </c>
      <c r="H52" s="4" t="str">
        <f t="shared" si="4"/>
        <v>OK</v>
      </c>
      <c r="I52" s="4" t="b">
        <f t="shared" si="5"/>
        <v>1</v>
      </c>
      <c r="J52" s="50">
        <v>557</v>
      </c>
      <c r="K52" s="50" t="str">
        <f>IF(OR(Table1[[#This Row],[Price]]&gt;$S$20,Table1[[#This Row],[Price]]&lt;$T$19),"Outlier","OK")</f>
        <v>OK</v>
      </c>
      <c r="L52" s="5" t="b">
        <f t="shared" si="6"/>
        <v>1</v>
      </c>
      <c r="M52" s="1" t="s">
        <v>41</v>
      </c>
      <c r="N52" s="1" t="s">
        <v>44</v>
      </c>
      <c r="O52" s="14">
        <v>0</v>
      </c>
      <c r="P52" s="14" t="str">
        <f>IF(AND(O52&lt;0,O52&lt;&gt;N67),"ERORR","OK")</f>
        <v>OK</v>
      </c>
    </row>
    <row r="53" spans="1:16" customFormat="1">
      <c r="A53" s="21">
        <v>133</v>
      </c>
      <c r="B53" s="1" t="s">
        <v>109</v>
      </c>
      <c r="C53" s="1" t="s">
        <v>110</v>
      </c>
      <c r="D53" s="2">
        <v>45631</v>
      </c>
      <c r="E53" s="1" t="s">
        <v>35</v>
      </c>
      <c r="F53" s="1" t="str">
        <f>VLOOKUP(E53,Mapping!$A$1:$B$20,2,FALSE)</f>
        <v>Books</v>
      </c>
      <c r="G53" s="4">
        <v>5</v>
      </c>
      <c r="H53" s="4" t="str">
        <f t="shared" si="4"/>
        <v>OK</v>
      </c>
      <c r="I53" s="4" t="b">
        <f t="shared" si="5"/>
        <v>1</v>
      </c>
      <c r="J53" s="50">
        <v>343.24</v>
      </c>
      <c r="K53" s="50" t="str">
        <f>IF(OR(Table1[[#This Row],[Price]]&gt;$S$20,Table1[[#This Row],[Price]]&lt;$T$19),"Outlier","OK")</f>
        <v>OK</v>
      </c>
      <c r="L53" s="5" t="b">
        <f t="shared" si="6"/>
        <v>1</v>
      </c>
      <c r="M53" s="1" t="s">
        <v>49</v>
      </c>
      <c r="N53" s="1" t="s">
        <v>16</v>
      </c>
      <c r="O53" s="14">
        <f>Table1[[#This Row],[Price]]*Table1[[#This Row],[Quantity]]</f>
        <v>1716.2</v>
      </c>
      <c r="P53" s="14" t="str">
        <f>IF(AND(O53&lt;0,O53&lt;&gt;N67),"ERORR","OK")</f>
        <v>OK</v>
      </c>
    </row>
    <row r="54" spans="1:16" customFormat="1">
      <c r="A54" s="21">
        <v>145</v>
      </c>
      <c r="B54" s="1" t="s">
        <v>138</v>
      </c>
      <c r="C54" s="1" t="s">
        <v>139</v>
      </c>
      <c r="D54" s="2">
        <v>45047</v>
      </c>
      <c r="E54" s="1" t="s">
        <v>140</v>
      </c>
      <c r="F54" s="1" t="str">
        <f>VLOOKUP(E54,Mapping!$A$1:$B$20,2,FALSE)</f>
        <v>Electronics</v>
      </c>
      <c r="G54" s="4">
        <v>2</v>
      </c>
      <c r="H54" s="4" t="str">
        <f t="shared" si="4"/>
        <v>OK</v>
      </c>
      <c r="I54" s="4" t="b">
        <f t="shared" si="5"/>
        <v>1</v>
      </c>
      <c r="J54" s="50">
        <v>860.99</v>
      </c>
      <c r="K54" s="50" t="str">
        <f>IF(OR(Table1[[#This Row],[Price]]&gt;$S$20,Table1[[#This Row],[Price]]&lt;$T$19),"Outlier","OK")</f>
        <v>OK</v>
      </c>
      <c r="L54" s="5" t="b">
        <f t="shared" si="6"/>
        <v>1</v>
      </c>
      <c r="M54" s="1" t="s">
        <v>41</v>
      </c>
      <c r="N54" s="1" t="s">
        <v>44</v>
      </c>
      <c r="O54" s="14">
        <v>0</v>
      </c>
      <c r="P54" s="14" t="str">
        <f>IF(AND(O54&lt;0,O54&lt;&gt;N70),"ERORR","OK")</f>
        <v>OK</v>
      </c>
    </row>
    <row r="55" spans="1:16" customFormat="1">
      <c r="A55" s="21">
        <v>111</v>
      </c>
      <c r="B55" s="1" t="s">
        <v>54</v>
      </c>
      <c r="C55" s="1" t="s">
        <v>55</v>
      </c>
      <c r="D55" s="2">
        <v>45952</v>
      </c>
      <c r="E55" s="1" t="s">
        <v>56</v>
      </c>
      <c r="F55" s="1" t="str">
        <f>VLOOKUP(E55,Mapping!$A$1:$B$20,2,FALSE)</f>
        <v>Books</v>
      </c>
      <c r="G55" s="4">
        <v>2</v>
      </c>
      <c r="H55" s="4" t="str">
        <f t="shared" si="4"/>
        <v>OK</v>
      </c>
      <c r="I55" s="4" t="b">
        <f t="shared" si="5"/>
        <v>1</v>
      </c>
      <c r="J55" s="50">
        <v>865.77</v>
      </c>
      <c r="K55" s="50" t="str">
        <f>IF(OR(Table1[[#This Row],[Price]]&gt;$S$20,Table1[[#This Row],[Price]]&lt;$T$19),"Outlier","OK")</f>
        <v>OK</v>
      </c>
      <c r="L55" s="5" t="b">
        <f t="shared" si="6"/>
        <v>1</v>
      </c>
      <c r="M55" s="1" t="s">
        <v>49</v>
      </c>
      <c r="N55" s="1" t="s">
        <v>44</v>
      </c>
      <c r="O55" s="14">
        <v>0</v>
      </c>
      <c r="P55" s="14" t="str">
        <f>IF(AND(O55&lt;0,O55&lt;&gt;N71),"ERORR","OK")</f>
        <v>OK</v>
      </c>
    </row>
    <row r="56" spans="1:16" customFormat="1">
      <c r="A56" s="21">
        <v>119</v>
      </c>
      <c r="B56" s="1" t="s">
        <v>76</v>
      </c>
      <c r="C56" s="1" t="s">
        <v>77</v>
      </c>
      <c r="D56" s="2">
        <v>45645</v>
      </c>
      <c r="E56" s="1" t="s">
        <v>52</v>
      </c>
      <c r="F56" s="1" t="str">
        <f>VLOOKUP(E56,Mapping!$A$1:$B$20,2,FALSE)</f>
        <v>Sports</v>
      </c>
      <c r="G56" s="4">
        <v>4</v>
      </c>
      <c r="H56" s="4" t="str">
        <f t="shared" si="4"/>
        <v>OK</v>
      </c>
      <c r="I56" s="4" t="b">
        <f t="shared" si="5"/>
        <v>1</v>
      </c>
      <c r="J56" s="50">
        <v>438.19</v>
      </c>
      <c r="K56" s="50" t="str">
        <f>IF(OR(Table1[[#This Row],[Price]]&gt;$S$20,Table1[[#This Row],[Price]]&lt;$T$19),"Outlier","OK")</f>
        <v>OK</v>
      </c>
      <c r="L56" s="5" t="b">
        <f t="shared" si="6"/>
        <v>1</v>
      </c>
      <c r="M56" s="1" t="s">
        <v>15</v>
      </c>
      <c r="N56" s="1" t="s">
        <v>23</v>
      </c>
      <c r="O56" s="14">
        <f>Table1[[#This Row],[Price]]*Table1[[#This Row],[Quantity]]</f>
        <v>1752.76</v>
      </c>
      <c r="P56" s="14" t="str">
        <f>IF(AND(O56&lt;0,O56&lt;&gt;N70),"ERORR","OK")</f>
        <v>OK</v>
      </c>
    </row>
    <row r="57" spans="1:16" customFormat="1">
      <c r="A57" s="21">
        <v>173</v>
      </c>
      <c r="B57" s="1" t="s">
        <v>198</v>
      </c>
      <c r="C57" s="1" t="s">
        <v>199</v>
      </c>
      <c r="D57" s="2">
        <v>45941</v>
      </c>
      <c r="E57" s="1" t="s">
        <v>99</v>
      </c>
      <c r="F57" s="1" t="str">
        <f>VLOOKUP(E57,Mapping!$A$1:$B$20,2,FALSE)</f>
        <v>Home</v>
      </c>
      <c r="G57" s="4">
        <v>5</v>
      </c>
      <c r="H57" s="4" t="str">
        <f t="shared" si="4"/>
        <v>OK</v>
      </c>
      <c r="I57" s="4" t="b">
        <f t="shared" si="5"/>
        <v>1</v>
      </c>
      <c r="J57" s="50">
        <v>351.89</v>
      </c>
      <c r="K57" s="50" t="str">
        <f>IF(OR(Table1[[#This Row],[Price]]&gt;$S$20,Table1[[#This Row],[Price]]&lt;$T$19),"Outlier","OK")</f>
        <v>OK</v>
      </c>
      <c r="L57" s="5" t="b">
        <f t="shared" si="6"/>
        <v>1</v>
      </c>
      <c r="M57" s="1" t="s">
        <v>49</v>
      </c>
      <c r="N57" s="1" t="s">
        <v>16</v>
      </c>
      <c r="O57" s="14">
        <f>Table1[[#This Row],[Price]]*Table1[[#This Row],[Quantity]]</f>
        <v>1759.4499999999998</v>
      </c>
      <c r="P57" s="14" t="str">
        <f>IF(AND(O57&lt;0,O57&lt;&gt;N73),"ERORR","OK")</f>
        <v>OK</v>
      </c>
    </row>
    <row r="58" spans="1:16" customFormat="1">
      <c r="A58" s="21">
        <v>191</v>
      </c>
      <c r="B58" s="1" t="s">
        <v>234</v>
      </c>
      <c r="C58" s="1" t="s">
        <v>235</v>
      </c>
      <c r="D58" s="2">
        <v>45856</v>
      </c>
      <c r="E58" s="1" t="s">
        <v>63</v>
      </c>
      <c r="F58" s="1" t="str">
        <f>VLOOKUP(E58,Mapping!$A$1:$B$20,2,FALSE)</f>
        <v>Books</v>
      </c>
      <c r="G58" s="4">
        <v>2</v>
      </c>
      <c r="H58" s="4" t="str">
        <f t="shared" si="4"/>
        <v>OK</v>
      </c>
      <c r="I58" s="4" t="b">
        <f t="shared" si="5"/>
        <v>1</v>
      </c>
      <c r="J58" s="50">
        <v>881.02</v>
      </c>
      <c r="K58" s="50" t="str">
        <f>IF(OR(Table1[[#This Row],[Price]]&gt;$S$20,Table1[[#This Row],[Price]]&lt;$T$19),"Outlier","OK")</f>
        <v>OK</v>
      </c>
      <c r="L58" s="5" t="b">
        <f t="shared" si="6"/>
        <v>1</v>
      </c>
      <c r="M58" s="1" t="s">
        <v>15</v>
      </c>
      <c r="N58" s="1" t="s">
        <v>44</v>
      </c>
      <c r="O58" s="14">
        <v>0</v>
      </c>
      <c r="P58" s="14" t="str">
        <f>IF(AND(O58&lt;0,O58&lt;&gt;N73),"ERORR","OK")</f>
        <v>OK</v>
      </c>
    </row>
    <row r="59" spans="1:16" customFormat="1">
      <c r="A59" s="21">
        <v>135</v>
      </c>
      <c r="B59" s="1" t="s">
        <v>115</v>
      </c>
      <c r="C59" s="1" t="s">
        <v>116</v>
      </c>
      <c r="D59" s="2">
        <v>45697</v>
      </c>
      <c r="E59" s="1" t="s">
        <v>117</v>
      </c>
      <c r="F59" s="1" t="str">
        <f>VLOOKUP(E59,Mapping!$A$1:$B$20,2,FALSE)</f>
        <v>Electronics</v>
      </c>
      <c r="G59" s="4">
        <v>4</v>
      </c>
      <c r="H59" s="4" t="str">
        <f t="shared" si="4"/>
        <v>OK</v>
      </c>
      <c r="I59" s="4" t="b">
        <f t="shared" si="5"/>
        <v>1</v>
      </c>
      <c r="J59" s="50">
        <v>446.19</v>
      </c>
      <c r="K59" s="50" t="str">
        <f>IF(OR(Table1[[#This Row],[Price]]&gt;$S$20,Table1[[#This Row],[Price]]&lt;$T$19),"Outlier","OK")</f>
        <v>OK</v>
      </c>
      <c r="L59" s="5" t="b">
        <f t="shared" si="6"/>
        <v>1</v>
      </c>
      <c r="M59" s="1" t="s">
        <v>15</v>
      </c>
      <c r="N59" s="1" t="s">
        <v>38</v>
      </c>
      <c r="O59" s="14">
        <v>0</v>
      </c>
      <c r="P59" s="14" t="str">
        <f>IF(AND(O59&lt;0,O59&lt;&gt;N75),"ERORR","OK")</f>
        <v>OK</v>
      </c>
    </row>
    <row r="60" spans="1:16" customFormat="1">
      <c r="A60" s="21">
        <v>123</v>
      </c>
      <c r="B60" s="1" t="s">
        <v>86</v>
      </c>
      <c r="C60" s="1" t="s">
        <v>87</v>
      </c>
      <c r="D60" s="2">
        <v>45936</v>
      </c>
      <c r="E60" s="1" t="s">
        <v>88</v>
      </c>
      <c r="F60" s="1" t="str">
        <f>VLOOKUP(E60,Mapping!$A$1:$B$20,2,FALSE)</f>
        <v>Home</v>
      </c>
      <c r="G60" s="4">
        <v>3</v>
      </c>
      <c r="H60" s="4" t="str">
        <f t="shared" si="4"/>
        <v>OK</v>
      </c>
      <c r="I60" s="4" t="b">
        <f t="shared" si="5"/>
        <v>1</v>
      </c>
      <c r="J60" s="50">
        <v>615.91</v>
      </c>
      <c r="K60" s="50" t="str">
        <f>IF(OR(Table1[[#This Row],[Price]]&gt;$S$20,Table1[[#This Row],[Price]]&lt;$T$19),"Outlier","OK")</f>
        <v>OK</v>
      </c>
      <c r="L60" s="5" t="b">
        <f t="shared" si="6"/>
        <v>1</v>
      </c>
      <c r="M60" s="1" t="s">
        <v>15</v>
      </c>
      <c r="N60" s="1" t="s">
        <v>38</v>
      </c>
      <c r="O60" s="14">
        <v>0</v>
      </c>
      <c r="P60" s="14" t="str">
        <f>IF(AND(O60&lt;0,O60&lt;&gt;N76),"ERORR","OK")</f>
        <v>OK</v>
      </c>
    </row>
    <row r="61" spans="1:16" customFormat="1">
      <c r="A61" s="21">
        <v>199</v>
      </c>
      <c r="B61" s="1" t="s">
        <v>248</v>
      </c>
      <c r="C61" s="1" t="s">
        <v>249</v>
      </c>
      <c r="D61" s="2">
        <v>45679</v>
      </c>
      <c r="E61" s="1" t="s">
        <v>13</v>
      </c>
      <c r="F61" s="1" t="str">
        <f>VLOOKUP(E61,Mapping!$A$1:$B$20,2,FALSE)</f>
        <v>Home</v>
      </c>
      <c r="G61" s="4">
        <v>5</v>
      </c>
      <c r="H61" s="4" t="str">
        <f t="shared" si="4"/>
        <v>OK</v>
      </c>
      <c r="I61" s="4" t="b">
        <f t="shared" si="5"/>
        <v>1</v>
      </c>
      <c r="J61" s="50">
        <v>569</v>
      </c>
      <c r="K61" s="50" t="str">
        <f>IF(OR(Table1[[#This Row],[Price]]&gt;$S$20,Table1[[#This Row],[Price]]&lt;$T$19),"Outlier","OK")</f>
        <v>OK</v>
      </c>
      <c r="L61" s="5" t="b">
        <f t="shared" si="6"/>
        <v>1</v>
      </c>
      <c r="M61" s="1" t="s">
        <v>49</v>
      </c>
      <c r="N61" s="1" t="s">
        <v>16</v>
      </c>
      <c r="O61" s="14">
        <f>Table1[[#This Row],[Price]]*Table1[[#This Row],[Quantity]]</f>
        <v>2845</v>
      </c>
      <c r="P61" s="14" t="str">
        <f>IF(AND(O61&lt;0,O61&lt;&gt;N75),"ERORR","OK")</f>
        <v>OK</v>
      </c>
    </row>
    <row r="62" spans="1:16" customFormat="1">
      <c r="A62" s="21">
        <v>172</v>
      </c>
      <c r="B62" s="1" t="s">
        <v>196</v>
      </c>
      <c r="C62" s="1" t="s">
        <v>197</v>
      </c>
      <c r="D62" s="2">
        <v>45614</v>
      </c>
      <c r="E62" s="1" t="s">
        <v>56</v>
      </c>
      <c r="F62" s="1" t="str">
        <f>VLOOKUP(E62,Mapping!$A$1:$B$20,2,FALSE)</f>
        <v>Books</v>
      </c>
      <c r="G62" s="4">
        <v>2</v>
      </c>
      <c r="H62" s="4" t="str">
        <f t="shared" si="4"/>
        <v>OK</v>
      </c>
      <c r="I62" s="4" t="b">
        <f t="shared" si="5"/>
        <v>1</v>
      </c>
      <c r="J62" s="50">
        <v>942.76</v>
      </c>
      <c r="K62" s="50" t="str">
        <f>IF(OR(Table1[[#This Row],[Price]]&gt;$S$20,Table1[[#This Row],[Price]]&lt;$T$19),"Outlier","OK")</f>
        <v>OK</v>
      </c>
      <c r="L62" s="5" t="b">
        <f t="shared" si="6"/>
        <v>1</v>
      </c>
      <c r="M62" s="1" t="s">
        <v>41</v>
      </c>
      <c r="N62" s="1" t="s">
        <v>44</v>
      </c>
      <c r="O62" s="14">
        <v>0</v>
      </c>
      <c r="P62" s="14" t="str">
        <f>IF(AND(O62&lt;0,O62&lt;&gt;Table1[[#This Row],[Status]]),"ERORR","OK")</f>
        <v>OK</v>
      </c>
    </row>
    <row r="63" spans="1:16" customFormat="1">
      <c r="A63" s="21">
        <v>110</v>
      </c>
      <c r="B63" s="1" t="s">
        <v>50</v>
      </c>
      <c r="C63" s="1" t="s">
        <v>51</v>
      </c>
      <c r="D63" s="2">
        <v>45926</v>
      </c>
      <c r="E63" s="1" t="s">
        <v>52</v>
      </c>
      <c r="F63" s="1" t="str">
        <f>VLOOKUP(E63,Mapping!$A$1:$B$20,2,FALSE)</f>
        <v>Sports</v>
      </c>
      <c r="G63" s="4">
        <v>5</v>
      </c>
      <c r="H63" s="4" t="str">
        <f t="shared" si="4"/>
        <v>OK</v>
      </c>
      <c r="I63" s="4" t="b">
        <f t="shared" si="5"/>
        <v>1</v>
      </c>
      <c r="J63" s="50">
        <v>400</v>
      </c>
      <c r="K63" s="50" t="str">
        <f>IF(OR(Table1[[#This Row],[Price]]&gt;$S$20,Table1[[#This Row],[Price]]&lt;$T$19),"Outlier","OK")</f>
        <v>OK</v>
      </c>
      <c r="L63" s="5" t="b">
        <f t="shared" si="6"/>
        <v>1</v>
      </c>
      <c r="M63" s="1" t="s">
        <v>15</v>
      </c>
      <c r="N63" s="1" t="s">
        <v>38</v>
      </c>
      <c r="O63" s="14">
        <v>0</v>
      </c>
      <c r="P63" s="14" t="str">
        <f>IF(AND(O63&lt;0,O63&lt;&gt;N79),"ERORR","OK")</f>
        <v>OK</v>
      </c>
    </row>
    <row r="64" spans="1:16" customFormat="1">
      <c r="A64" s="21">
        <v>171</v>
      </c>
      <c r="B64" s="1" t="s">
        <v>194</v>
      </c>
      <c r="C64" s="1" t="s">
        <v>195</v>
      </c>
      <c r="D64" s="2">
        <v>45632</v>
      </c>
      <c r="E64" s="1" t="s">
        <v>59</v>
      </c>
      <c r="F64" s="1" t="str">
        <f>VLOOKUP(E64,Mapping!$A$1:$B$20,2,FALSE)</f>
        <v>Clothings</v>
      </c>
      <c r="G64" s="4">
        <v>3</v>
      </c>
      <c r="H64" s="4" t="str">
        <f t="shared" ref="H64:H89" si="7">IF(AND(G64&lt;0,G64&lt;&gt;$N$4),"ERORR","OK")</f>
        <v>OK</v>
      </c>
      <c r="I64" s="4" t="b">
        <f t="shared" ref="I64:I89" si="8">ISNUMBER(G64)</f>
        <v>1</v>
      </c>
      <c r="J64" s="50">
        <v>832</v>
      </c>
      <c r="K64" s="50" t="str">
        <f>IF(OR(Table1[[#This Row],[Price]]&gt;$S$20,Table1[[#This Row],[Price]]&lt;$T$19),"Outlier","OK")</f>
        <v>OK</v>
      </c>
      <c r="L64" s="5" t="b">
        <f t="shared" ref="L64:L89" si="9">ISNUMBER(J64)</f>
        <v>1</v>
      </c>
      <c r="M64" s="1" t="s">
        <v>22</v>
      </c>
      <c r="N64" s="1" t="s">
        <v>23</v>
      </c>
      <c r="O64" s="14">
        <f>Table1[[#This Row],[Price]]*Table1[[#This Row],[Quantity]]</f>
        <v>2496</v>
      </c>
      <c r="P64" s="14" t="str">
        <f>IF(AND(O64&lt;0,O64&lt;&gt;N78),"ERORR","OK")</f>
        <v>OK</v>
      </c>
    </row>
    <row r="65" spans="1:16" customFormat="1">
      <c r="A65" s="21">
        <v>121</v>
      </c>
      <c r="B65" s="1" t="s">
        <v>82</v>
      </c>
      <c r="C65" s="1" t="s">
        <v>83</v>
      </c>
      <c r="D65" s="2">
        <v>45941</v>
      </c>
      <c r="E65" s="1" t="s">
        <v>52</v>
      </c>
      <c r="F65" s="1" t="str">
        <f>VLOOKUP(E65,Mapping!$A$1:$B$20,2,FALSE)</f>
        <v>Sports</v>
      </c>
      <c r="G65" s="4">
        <v>4</v>
      </c>
      <c r="H65" s="4" t="str">
        <f t="shared" si="7"/>
        <v>OK</v>
      </c>
      <c r="I65" s="4" t="b">
        <f t="shared" si="8"/>
        <v>1</v>
      </c>
      <c r="J65" s="50">
        <v>523.01</v>
      </c>
      <c r="K65" s="50" t="str">
        <f>IF(OR(Table1[[#This Row],[Price]]&gt;$S$20,Table1[[#This Row],[Price]]&lt;$T$19),"Outlier","OK")</f>
        <v>OK</v>
      </c>
      <c r="L65" s="5" t="b">
        <f t="shared" si="9"/>
        <v>1</v>
      </c>
      <c r="M65" s="1" t="s">
        <v>49</v>
      </c>
      <c r="N65" s="1" t="s">
        <v>28</v>
      </c>
      <c r="O65" s="14">
        <f>Table1[[#This Row],[Price]]*Table1[[#This Row],[Quantity]]</f>
        <v>2092.04</v>
      </c>
      <c r="P65" s="14" t="str">
        <f>IF(AND(O65&lt;0,O65&lt;&gt;N81),"ERORR","OK")</f>
        <v>OK</v>
      </c>
    </row>
    <row r="66" spans="1:16" customFormat="1">
      <c r="A66" s="21">
        <v>182</v>
      </c>
      <c r="B66" s="1" t="s">
        <v>216</v>
      </c>
      <c r="C66" s="1" t="s">
        <v>217</v>
      </c>
      <c r="D66" s="2">
        <v>45872</v>
      </c>
      <c r="E66" s="1" t="s">
        <v>59</v>
      </c>
      <c r="F66" s="1" t="str">
        <f>VLOOKUP(E66,Mapping!$A$1:$B$20,2,FALSE)</f>
        <v>Clothings</v>
      </c>
      <c r="G66" s="4">
        <v>4</v>
      </c>
      <c r="H66" s="4" t="str">
        <f t="shared" si="7"/>
        <v>OK</v>
      </c>
      <c r="I66" s="4" t="b">
        <f t="shared" si="8"/>
        <v>1</v>
      </c>
      <c r="J66" s="50">
        <v>701</v>
      </c>
      <c r="K66" s="50" t="str">
        <f>IF(OR(Table1[[#This Row],[Price]]&gt;$S$20,Table1[[#This Row],[Price]]&lt;$T$19),"Outlier","OK")</f>
        <v>OK</v>
      </c>
      <c r="L66" s="5" t="b">
        <f t="shared" si="9"/>
        <v>1</v>
      </c>
      <c r="M66" s="1" t="s">
        <v>22</v>
      </c>
      <c r="N66" s="1" t="s">
        <v>23</v>
      </c>
      <c r="O66" s="14">
        <f>Table1[[#This Row],[Price]]*Table1[[#This Row],[Quantity]]</f>
        <v>2804</v>
      </c>
      <c r="P66" s="14" t="str">
        <f>IF(AND(O66&lt;0,O66&lt;&gt;N81),"ERORR","OK")</f>
        <v>OK</v>
      </c>
    </row>
    <row r="67" spans="1:16" customFormat="1">
      <c r="A67" s="21">
        <v>140</v>
      </c>
      <c r="B67" s="1" t="s">
        <v>127</v>
      </c>
      <c r="C67" s="1" t="s">
        <v>128</v>
      </c>
      <c r="D67" s="2">
        <v>45714</v>
      </c>
      <c r="E67" s="1" t="s">
        <v>63</v>
      </c>
      <c r="F67" s="1" t="str">
        <f>VLOOKUP(E67,Mapping!$A$1:$B$20,2,FALSE)</f>
        <v>Books</v>
      </c>
      <c r="G67" s="4">
        <v>4</v>
      </c>
      <c r="H67" s="4" t="str">
        <f t="shared" si="7"/>
        <v>OK</v>
      </c>
      <c r="I67" s="4" t="b">
        <f t="shared" si="8"/>
        <v>1</v>
      </c>
      <c r="J67" s="50">
        <v>588.98</v>
      </c>
      <c r="K67" s="50" t="str">
        <f>IF(OR(Table1[[#This Row],[Price]]&gt;$S$20,Table1[[#This Row],[Price]]&lt;$T$19),"Outlier","OK")</f>
        <v>OK</v>
      </c>
      <c r="L67" s="5" t="b">
        <f t="shared" si="9"/>
        <v>1</v>
      </c>
      <c r="M67" s="1" t="s">
        <v>49</v>
      </c>
      <c r="N67" s="1" t="s">
        <v>44</v>
      </c>
      <c r="O67" s="14">
        <v>0</v>
      </c>
      <c r="P67" s="14" t="str">
        <f>IF(AND(O67&lt;0,O67&lt;&gt;N83),"ERORR","OK")</f>
        <v>OK</v>
      </c>
    </row>
    <row r="68" spans="1:16" customFormat="1">
      <c r="A68" s="21">
        <v>147</v>
      </c>
      <c r="B68" s="1" t="s">
        <v>143</v>
      </c>
      <c r="C68" s="1" t="s">
        <v>144</v>
      </c>
      <c r="D68" s="2">
        <v>45778</v>
      </c>
      <c r="E68" s="1" t="s">
        <v>145</v>
      </c>
      <c r="F68" s="1" t="str">
        <f>VLOOKUP(E68,Mapping!$A$1:$B$20,2,FALSE)</f>
        <v>Clothings</v>
      </c>
      <c r="G68" s="4">
        <v>4</v>
      </c>
      <c r="H68" s="4" t="str">
        <f t="shared" si="7"/>
        <v>OK</v>
      </c>
      <c r="I68" s="4" t="b">
        <f t="shared" si="8"/>
        <v>1</v>
      </c>
      <c r="J68" s="50">
        <v>596.15</v>
      </c>
      <c r="K68" s="50" t="str">
        <f>IF(OR(Table1[[#This Row],[Price]]&gt;$S$20,Table1[[#This Row],[Price]]&lt;$T$19),"Outlier","OK")</f>
        <v>OK</v>
      </c>
      <c r="L68" s="5" t="b">
        <f t="shared" si="9"/>
        <v>1</v>
      </c>
      <c r="M68" s="1" t="s">
        <v>15</v>
      </c>
      <c r="N68" s="1" t="s">
        <v>16</v>
      </c>
      <c r="O68" s="14">
        <f>Table1[[#This Row],[Price]]*Table1[[#This Row],[Quantity]]</f>
        <v>2384.6</v>
      </c>
      <c r="P68" s="14" t="str">
        <f>IF(AND(O68&lt;0,O68&lt;&gt;N84),"ERORR","OK")</f>
        <v>OK</v>
      </c>
    </row>
    <row r="69" spans="1:16" customFormat="1">
      <c r="A69" s="21">
        <v>188</v>
      </c>
      <c r="B69" s="1" t="s">
        <v>228</v>
      </c>
      <c r="C69" s="1" t="s">
        <v>229</v>
      </c>
      <c r="D69" s="2">
        <v>45615</v>
      </c>
      <c r="E69" s="1" t="s">
        <v>70</v>
      </c>
      <c r="F69" s="1" t="str">
        <f>VLOOKUP(E69,Mapping!$A$1:$B$20,2,FALSE)</f>
        <v>Home</v>
      </c>
      <c r="G69" s="4">
        <v>5</v>
      </c>
      <c r="H69" s="4" t="str">
        <f t="shared" si="7"/>
        <v>OK</v>
      </c>
      <c r="I69" s="4" t="b">
        <f t="shared" si="8"/>
        <v>1</v>
      </c>
      <c r="J69" s="50">
        <v>504.05</v>
      </c>
      <c r="K69" s="50" t="str">
        <f>IF(OR(Table1[[#This Row],[Price]]&gt;$S$20,Table1[[#This Row],[Price]]&lt;$T$19),"Outlier","OK")</f>
        <v>OK</v>
      </c>
      <c r="L69" s="5" t="b">
        <f t="shared" si="9"/>
        <v>1</v>
      </c>
      <c r="M69" s="1" t="s">
        <v>15</v>
      </c>
      <c r="N69" s="1" t="s">
        <v>16</v>
      </c>
      <c r="O69" s="14">
        <f>Table1[[#This Row],[Price]]*Table1[[#This Row],[Quantity]]</f>
        <v>2520.25</v>
      </c>
      <c r="P69" s="14" t="str">
        <f>IF(AND(O69&lt;0,O69&lt;&gt;N84),"ERORR","OK")</f>
        <v>OK</v>
      </c>
    </row>
    <row r="70" spans="1:16" customFormat="1">
      <c r="A70" s="21">
        <v>179</v>
      </c>
      <c r="B70" s="1" t="s">
        <v>210</v>
      </c>
      <c r="C70" s="1" t="s">
        <v>211</v>
      </c>
      <c r="D70" s="2">
        <v>45903</v>
      </c>
      <c r="E70" s="1" t="s">
        <v>80</v>
      </c>
      <c r="F70" s="1" t="str">
        <f>VLOOKUP(E70,Mapping!$A$1:$B$20,2,FALSE)</f>
        <v>Sports</v>
      </c>
      <c r="G70" s="4">
        <v>3</v>
      </c>
      <c r="H70" s="4" t="str">
        <f t="shared" si="7"/>
        <v>OK</v>
      </c>
      <c r="I70" s="4" t="b">
        <f t="shared" si="8"/>
        <v>1</v>
      </c>
      <c r="J70" s="50">
        <v>868.67</v>
      </c>
      <c r="K70" s="50" t="str">
        <f>IF(OR(Table1[[#This Row],[Price]]&gt;$S$20,Table1[[#This Row],[Price]]&lt;$T$19),"Outlier","OK")</f>
        <v>OK</v>
      </c>
      <c r="L70" s="5" t="b">
        <f t="shared" si="9"/>
        <v>1</v>
      </c>
      <c r="M70" s="1" t="s">
        <v>22</v>
      </c>
      <c r="N70" s="1" t="s">
        <v>28</v>
      </c>
      <c r="O70" s="14">
        <f>Table1[[#This Row],[Price]]*Table1[[#This Row],[Quantity]]</f>
        <v>2606.0099999999998</v>
      </c>
      <c r="P70" s="14" t="str">
        <f>IF(AND(O70&lt;0,O70&lt;&gt;N87),"ERORR","OK")</f>
        <v>OK</v>
      </c>
    </row>
    <row r="71" spans="1:16" customFormat="1">
      <c r="A71" s="21">
        <v>187</v>
      </c>
      <c r="B71" s="1" t="s">
        <v>226</v>
      </c>
      <c r="C71" s="1" t="s">
        <v>227</v>
      </c>
      <c r="D71" s="2">
        <v>45615</v>
      </c>
      <c r="E71" s="1" t="s">
        <v>19</v>
      </c>
      <c r="F71" s="1" t="str">
        <f>VLOOKUP(E71,Mapping!$A$1:$B$20,2,FALSE)</f>
        <v>Electronics</v>
      </c>
      <c r="G71" s="4">
        <v>3</v>
      </c>
      <c r="H71" s="4" t="str">
        <f t="shared" si="7"/>
        <v>OK</v>
      </c>
      <c r="I71" s="4" t="b">
        <f t="shared" si="8"/>
        <v>1</v>
      </c>
      <c r="J71" s="50">
        <v>882.96</v>
      </c>
      <c r="K71" s="50" t="str">
        <f>IF(OR(Table1[[#This Row],[Price]]&gt;$S$20,Table1[[#This Row],[Price]]&lt;$T$19),"Outlier","OK")</f>
        <v>OK</v>
      </c>
      <c r="L71" s="5" t="b">
        <f t="shared" si="9"/>
        <v>1</v>
      </c>
      <c r="M71" s="1" t="s">
        <v>41</v>
      </c>
      <c r="N71" s="1" t="s">
        <v>44</v>
      </c>
      <c r="O71" s="14">
        <v>0</v>
      </c>
      <c r="P71" s="14" t="str">
        <f>IF(AND(O71&lt;0,O71&lt;&gt;Table1[[#This Row],[Status]]),"ERORR","OK")</f>
        <v>OK</v>
      </c>
    </row>
    <row r="72" spans="1:16" customFormat="1">
      <c r="A72" s="21">
        <v>176</v>
      </c>
      <c r="B72" s="1" t="s">
        <v>204</v>
      </c>
      <c r="C72" s="1" t="s">
        <v>205</v>
      </c>
      <c r="D72" s="2">
        <v>45860</v>
      </c>
      <c r="E72" s="1" t="s">
        <v>56</v>
      </c>
      <c r="F72" s="1" t="str">
        <f>VLOOKUP(E72,Mapping!$A$1:$B$20,2,FALSE)</f>
        <v>Books</v>
      </c>
      <c r="G72" s="4">
        <v>5</v>
      </c>
      <c r="H72" s="4" t="str">
        <f t="shared" si="7"/>
        <v>OK</v>
      </c>
      <c r="I72" s="4" t="b">
        <f t="shared" si="8"/>
        <v>1</v>
      </c>
      <c r="J72" s="50">
        <v>530.52</v>
      </c>
      <c r="K72" s="50" t="str">
        <f>IF(OR(Table1[[#This Row],[Price]]&gt;$S$20,Table1[[#This Row],[Price]]&lt;$T$19),"Outlier","OK")</f>
        <v>OK</v>
      </c>
      <c r="L72" s="5" t="b">
        <f t="shared" si="9"/>
        <v>1</v>
      </c>
      <c r="M72" s="1" t="s">
        <v>15</v>
      </c>
      <c r="N72" s="1" t="s">
        <v>16</v>
      </c>
      <c r="O72" s="14">
        <f>Table1[[#This Row],[Price]]*Table1[[#This Row],[Quantity]]</f>
        <v>2652.6</v>
      </c>
      <c r="P72" s="14" t="str">
        <f>IF(AND(O72&lt;0,O72&lt;&gt;N88),"ERORR","OK")</f>
        <v>OK</v>
      </c>
    </row>
    <row r="73" spans="1:16" customFormat="1">
      <c r="A73" s="21">
        <v>128</v>
      </c>
      <c r="B73" s="1" t="s">
        <v>97</v>
      </c>
      <c r="C73" s="1" t="s">
        <v>98</v>
      </c>
      <c r="D73" s="2">
        <v>45606</v>
      </c>
      <c r="E73" s="1" t="s">
        <v>99</v>
      </c>
      <c r="F73" s="1" t="str">
        <f>VLOOKUP(E73,Mapping!$A$1:$B$20,2,FALSE)</f>
        <v>Home</v>
      </c>
      <c r="G73" s="4">
        <v>3</v>
      </c>
      <c r="H73" s="4" t="str">
        <f t="shared" si="7"/>
        <v>OK</v>
      </c>
      <c r="I73" s="4" t="b">
        <f t="shared" si="8"/>
        <v>1</v>
      </c>
      <c r="J73" s="50">
        <v>898.69</v>
      </c>
      <c r="K73" s="50" t="str">
        <f>IF(OR(Table1[[#This Row],[Price]]&gt;$S$20,Table1[[#This Row],[Price]]&lt;$T$19),"Outlier","OK")</f>
        <v>OK</v>
      </c>
      <c r="L73" s="5" t="b">
        <f t="shared" si="9"/>
        <v>1</v>
      </c>
      <c r="M73" s="1" t="s">
        <v>41</v>
      </c>
      <c r="N73" s="1" t="s">
        <v>28</v>
      </c>
      <c r="O73" s="14">
        <f>Table1[[#This Row],[Price]]*Table1[[#This Row],[Quantity]]</f>
        <v>2696.07</v>
      </c>
      <c r="P73" s="14" t="str">
        <f>IF(AND(O73&lt;0,O73&lt;&gt;N90),"ERORR","OK")</f>
        <v>OK</v>
      </c>
    </row>
    <row r="74" spans="1:16" customFormat="1">
      <c r="A74" s="21">
        <v>107</v>
      </c>
      <c r="B74" s="1" t="s">
        <v>42</v>
      </c>
      <c r="C74" s="1" t="s">
        <v>43</v>
      </c>
      <c r="D74" s="2">
        <v>45660</v>
      </c>
      <c r="E74" s="1" t="s">
        <v>35</v>
      </c>
      <c r="F74" s="1" t="str">
        <f>VLOOKUP(E74,Mapping!$A$1:$B$20,2,FALSE)</f>
        <v>Books</v>
      </c>
      <c r="G74" s="4">
        <v>5</v>
      </c>
      <c r="H74" s="4" t="str">
        <f t="shared" si="7"/>
        <v>OK</v>
      </c>
      <c r="I74" s="4" t="b">
        <f t="shared" si="8"/>
        <v>1</v>
      </c>
      <c r="J74" s="50">
        <v>587.67999999999995</v>
      </c>
      <c r="K74" s="50" t="str">
        <f>IF(OR(Table1[[#This Row],[Price]]&gt;$S$20,Table1[[#This Row],[Price]]&lt;$T$19),"Outlier","OK")</f>
        <v>OK</v>
      </c>
      <c r="L74" s="5" t="b">
        <f t="shared" si="9"/>
        <v>1</v>
      </c>
      <c r="M74" s="1" t="s">
        <v>22</v>
      </c>
      <c r="N74" s="1" t="s">
        <v>44</v>
      </c>
      <c r="O74" s="14">
        <v>0</v>
      </c>
      <c r="P74" s="14" t="str">
        <f>IF(AND(O74&lt;0,O74&lt;&gt;N89),"ERORR","OK")</f>
        <v>OK</v>
      </c>
    </row>
    <row r="75" spans="1:16" customFormat="1">
      <c r="A75" s="21">
        <v>129</v>
      </c>
      <c r="B75" s="1" t="s">
        <v>101</v>
      </c>
      <c r="C75" s="1" t="s">
        <v>102</v>
      </c>
      <c r="D75" s="2">
        <v>45830</v>
      </c>
      <c r="E75" s="1" t="s">
        <v>31</v>
      </c>
      <c r="F75" s="1" t="str">
        <f>VLOOKUP(E75,Mapping!$A$1:$B$20,2,FALSE)</f>
        <v>Books</v>
      </c>
      <c r="G75" s="4">
        <v>4</v>
      </c>
      <c r="H75" s="4" t="str">
        <f t="shared" si="7"/>
        <v>OK</v>
      </c>
      <c r="I75" s="4" t="b">
        <f t="shared" si="8"/>
        <v>1</v>
      </c>
      <c r="J75" s="50">
        <v>736.71</v>
      </c>
      <c r="K75" s="50" t="str">
        <f>IF(OR(Table1[[#This Row],[Price]]&gt;$S$20,Table1[[#This Row],[Price]]&lt;$T$19),"Outlier","OK")</f>
        <v>OK</v>
      </c>
      <c r="L75" s="5" t="b">
        <f t="shared" si="9"/>
        <v>1</v>
      </c>
      <c r="M75" s="1" t="s">
        <v>41</v>
      </c>
      <c r="N75" s="1" t="s">
        <v>44</v>
      </c>
      <c r="O75" s="14">
        <v>0</v>
      </c>
      <c r="P75" s="14" t="str">
        <f>IF(AND(O75&lt;0,O75&lt;&gt;Table1[[#This Row],[Status]]),"ERORR","OK")</f>
        <v>OK</v>
      </c>
    </row>
    <row r="76" spans="1:16" customFormat="1">
      <c r="A76" s="21">
        <v>134</v>
      </c>
      <c r="B76" s="1" t="s">
        <v>112</v>
      </c>
      <c r="C76" s="1" t="s">
        <v>113</v>
      </c>
      <c r="D76" s="2">
        <v>45934</v>
      </c>
      <c r="E76" s="1" t="s">
        <v>114</v>
      </c>
      <c r="F76" s="1" t="str">
        <f>VLOOKUP(E76,Mapping!$A$1:$B$20,2,FALSE)</f>
        <v>Clothings</v>
      </c>
      <c r="G76" s="4">
        <v>5</v>
      </c>
      <c r="H76" s="4" t="str">
        <f t="shared" si="7"/>
        <v>OK</v>
      </c>
      <c r="I76" s="4" t="b">
        <f t="shared" si="8"/>
        <v>1</v>
      </c>
      <c r="J76" s="50">
        <v>591.53</v>
      </c>
      <c r="K76" s="50" t="str">
        <f>IF(OR(Table1[[#This Row],[Price]]&gt;$S$20,Table1[[#This Row],[Price]]&lt;$T$19),"Outlier","OK")</f>
        <v>OK</v>
      </c>
      <c r="L76" s="5" t="b">
        <f t="shared" si="9"/>
        <v>1</v>
      </c>
      <c r="M76" s="1" t="s">
        <v>22</v>
      </c>
      <c r="N76" s="1" t="s">
        <v>16</v>
      </c>
      <c r="O76" s="14">
        <f>Table1[[#This Row],[Price]]*Table1[[#This Row],[Quantity]]</f>
        <v>2957.6499999999996</v>
      </c>
      <c r="P76" s="14" t="str">
        <f>IF(AND(O76&lt;0,O76&lt;&gt;N93),"ERORR","OK")</f>
        <v>OK</v>
      </c>
    </row>
    <row r="77" spans="1:16" customFormat="1">
      <c r="A77" s="21">
        <v>112</v>
      </c>
      <c r="B77" s="1" t="s">
        <v>57</v>
      </c>
      <c r="C77" s="1" t="s">
        <v>58</v>
      </c>
      <c r="D77" s="2">
        <v>45718</v>
      </c>
      <c r="E77" s="1" t="s">
        <v>59</v>
      </c>
      <c r="F77" s="1" t="str">
        <f>VLOOKUP(E77,Mapping!$A$1:$B$20,2,FALSE)</f>
        <v>Clothings</v>
      </c>
      <c r="G77" s="4">
        <v>4</v>
      </c>
      <c r="H77" s="4" t="str">
        <f t="shared" si="7"/>
        <v>OK</v>
      </c>
      <c r="I77" s="4" t="b">
        <f t="shared" si="8"/>
        <v>1</v>
      </c>
      <c r="J77" s="50">
        <v>866</v>
      </c>
      <c r="K77" s="50" t="str">
        <f>IF(OR(Table1[[#This Row],[Price]]&gt;$S$20,Table1[[#This Row],[Price]]&lt;$T$19),"Outlier","OK")</f>
        <v>OK</v>
      </c>
      <c r="L77" s="5" t="b">
        <f t="shared" si="9"/>
        <v>1</v>
      </c>
      <c r="M77" s="1" t="s">
        <v>41</v>
      </c>
      <c r="N77" s="1" t="s">
        <v>28</v>
      </c>
      <c r="O77" s="14">
        <f>Table1[[#This Row],[Price]]*Table1[[#This Row],[Quantity]]</f>
        <v>3464</v>
      </c>
      <c r="P77" s="14" t="str">
        <f>IF(AND(O77&lt;0,O77&lt;&gt;N93),"ERORR","OK")</f>
        <v>OK</v>
      </c>
    </row>
    <row r="78" spans="1:16" customFormat="1">
      <c r="A78" s="21">
        <v>125</v>
      </c>
      <c r="B78" s="1" t="s">
        <v>91</v>
      </c>
      <c r="C78" s="1" t="s">
        <v>92</v>
      </c>
      <c r="D78" s="2">
        <v>45697</v>
      </c>
      <c r="E78" s="1" t="s">
        <v>56</v>
      </c>
      <c r="F78" s="1" t="str">
        <f>VLOOKUP(E78,Mapping!$A$1:$B$20,2,FALSE)</f>
        <v>Books</v>
      </c>
      <c r="G78" s="4">
        <v>4</v>
      </c>
      <c r="H78" s="4" t="str">
        <f t="shared" si="7"/>
        <v>OK</v>
      </c>
      <c r="I78" s="4" t="b">
        <f t="shared" si="8"/>
        <v>1</v>
      </c>
      <c r="J78" s="50">
        <v>765.69</v>
      </c>
      <c r="K78" s="50" t="str">
        <f>IF(OR(Table1[[#This Row],[Price]]&gt;$S$20,Table1[[#This Row],[Price]]&lt;$T$19),"Outlier","OK")</f>
        <v>OK</v>
      </c>
      <c r="L78" s="5" t="b">
        <f t="shared" si="9"/>
        <v>1</v>
      </c>
      <c r="M78" s="1" t="s">
        <v>22</v>
      </c>
      <c r="N78" s="1" t="s">
        <v>16</v>
      </c>
      <c r="O78" s="14">
        <f>Table1[[#This Row],[Price]]*Table1[[#This Row],[Quantity]]</f>
        <v>3062.76</v>
      </c>
      <c r="P78" s="14" t="str">
        <f>IF(AND(O78&lt;0,O78&lt;&gt;N95),"ERORR","OK")</f>
        <v>OK</v>
      </c>
    </row>
    <row r="79" spans="1:16" customFormat="1">
      <c r="A79" s="21">
        <v>131</v>
      </c>
      <c r="B79" s="1" t="s">
        <v>105</v>
      </c>
      <c r="C79" s="1" t="s">
        <v>106</v>
      </c>
      <c r="D79" s="2">
        <v>45819</v>
      </c>
      <c r="E79" s="1" t="s">
        <v>99</v>
      </c>
      <c r="F79" s="1" t="str">
        <f>VLOOKUP(E79,Mapping!$A$1:$B$20,2,FALSE)</f>
        <v>Home</v>
      </c>
      <c r="G79" s="4">
        <v>5</v>
      </c>
      <c r="H79" s="4" t="str">
        <f t="shared" si="7"/>
        <v>OK</v>
      </c>
      <c r="I79" s="4" t="b">
        <f t="shared" si="8"/>
        <v>1</v>
      </c>
      <c r="J79" s="50">
        <v>616.63</v>
      </c>
      <c r="K79" s="50" t="str">
        <f>IF(OR(Table1[[#This Row],[Price]]&gt;$S$20,Table1[[#This Row],[Price]]&lt;$T$19),"Outlier","OK")</f>
        <v>OK</v>
      </c>
      <c r="L79" s="5" t="b">
        <f t="shared" si="9"/>
        <v>1</v>
      </c>
      <c r="M79" s="1" t="s">
        <v>22</v>
      </c>
      <c r="N79" s="1" t="s">
        <v>16</v>
      </c>
      <c r="O79" s="14">
        <f>Table1[[#This Row],[Price]]*Table1[[#This Row],[Quantity]]</f>
        <v>3083.15</v>
      </c>
      <c r="P79" s="14" t="str">
        <f>IF(AND(O79&lt;0,O79&lt;&gt;N96),"ERORR","OK")</f>
        <v>OK</v>
      </c>
    </row>
    <row r="80" spans="1:16" customFormat="1">
      <c r="A80" s="21">
        <v>142</v>
      </c>
      <c r="B80" s="1" t="s">
        <v>131</v>
      </c>
      <c r="C80" s="1" t="s">
        <v>132</v>
      </c>
      <c r="D80" s="2">
        <v>45960</v>
      </c>
      <c r="E80" s="1" t="s">
        <v>59</v>
      </c>
      <c r="F80" s="1" t="str">
        <f>VLOOKUP(E80,Mapping!$A$1:$B$20,2,FALSE)</f>
        <v>Clothings</v>
      </c>
      <c r="G80" s="4">
        <v>5</v>
      </c>
      <c r="H80" s="4" t="str">
        <f t="shared" si="7"/>
        <v>OK</v>
      </c>
      <c r="I80" s="4" t="b">
        <f t="shared" si="8"/>
        <v>1</v>
      </c>
      <c r="J80" s="50">
        <v>816</v>
      </c>
      <c r="K80" s="50" t="str">
        <f>IF(OR(Table1[[#This Row],[Price]]&gt;$S$20,Table1[[#This Row],[Price]]&lt;$T$19),"Outlier","OK")</f>
        <v>OK</v>
      </c>
      <c r="L80" s="5" t="b">
        <f t="shared" si="9"/>
        <v>1</v>
      </c>
      <c r="M80" s="1" t="s">
        <v>49</v>
      </c>
      <c r="N80" s="1" t="s">
        <v>16</v>
      </c>
      <c r="O80" s="14">
        <f>Table1[[#This Row],[Price]]*Table1[[#This Row],[Quantity]]</f>
        <v>4080</v>
      </c>
      <c r="P80" s="14" t="str">
        <f>IF(AND(O80&lt;0,O80&lt;&gt;N97),"ERORR","OK")</f>
        <v>OK</v>
      </c>
    </row>
    <row r="81" spans="1:16" customFormat="1">
      <c r="A81" s="21">
        <v>126</v>
      </c>
      <c r="B81" s="1" t="s">
        <v>93</v>
      </c>
      <c r="C81" s="1" t="s">
        <v>94</v>
      </c>
      <c r="D81" s="2">
        <v>45795</v>
      </c>
      <c r="E81" s="1" t="s">
        <v>59</v>
      </c>
      <c r="F81" s="1" t="str">
        <f>VLOOKUP(E81,Mapping!$A$1:$B$20,2,FALSE)</f>
        <v>Clothings</v>
      </c>
      <c r="G81" s="4">
        <v>4</v>
      </c>
      <c r="H81" s="4" t="str">
        <f t="shared" si="7"/>
        <v>OK</v>
      </c>
      <c r="I81" s="4" t="b">
        <f t="shared" si="8"/>
        <v>1</v>
      </c>
      <c r="J81" s="50">
        <v>883</v>
      </c>
      <c r="K81" s="50" t="str">
        <f>IF(OR(Table1[[#This Row],[Price]]&gt;$S$20,Table1[[#This Row],[Price]]&lt;$T$19),"Outlier","OK")</f>
        <v>OK</v>
      </c>
      <c r="L81" s="5" t="b">
        <f t="shared" si="9"/>
        <v>1</v>
      </c>
      <c r="M81" s="1" t="s">
        <v>41</v>
      </c>
      <c r="N81" s="1" t="s">
        <v>38</v>
      </c>
      <c r="O81" s="14">
        <v>0</v>
      </c>
      <c r="P81" s="14" t="str">
        <f>IF(AND(O81&lt;0,O81&lt;&gt;N97),"ERORR","OK")</f>
        <v>OK</v>
      </c>
    </row>
    <row r="82" spans="1:16" customFormat="1">
      <c r="A82" s="21">
        <v>170</v>
      </c>
      <c r="B82" s="1" t="s">
        <v>192</v>
      </c>
      <c r="C82" s="1" t="s">
        <v>193</v>
      </c>
      <c r="D82" s="2">
        <v>45933</v>
      </c>
      <c r="E82" s="1" t="s">
        <v>165</v>
      </c>
      <c r="F82" s="1" t="str">
        <f>VLOOKUP(E82,Mapping!$A$1:$B$20,2,FALSE)</f>
        <v>Clothings</v>
      </c>
      <c r="G82" s="4">
        <v>5</v>
      </c>
      <c r="H82" s="4" t="str">
        <f t="shared" si="7"/>
        <v>OK</v>
      </c>
      <c r="I82" s="4" t="b">
        <f t="shared" si="8"/>
        <v>1</v>
      </c>
      <c r="J82" s="50">
        <v>741.63</v>
      </c>
      <c r="K82" s="50" t="str">
        <f>IF(OR(Table1[[#This Row],[Price]]&gt;$S$20,Table1[[#This Row],[Price]]&lt;$T$19),"Outlier","OK")</f>
        <v>OK</v>
      </c>
      <c r="L82" s="5" t="b">
        <f t="shared" si="9"/>
        <v>1</v>
      </c>
      <c r="M82" s="1" t="s">
        <v>41</v>
      </c>
      <c r="N82" s="1" t="s">
        <v>23</v>
      </c>
      <c r="O82" s="14">
        <f>Table1[[#This Row],[Price]]*Table1[[#This Row],[Quantity]]</f>
        <v>3708.15</v>
      </c>
      <c r="P82" s="14" t="str">
        <f>IF(AND(O82&lt;0,O82&lt;&gt;N99),"ERORR","OK")</f>
        <v>OK</v>
      </c>
    </row>
    <row r="83" spans="1:16" customFormat="1">
      <c r="A83" s="21">
        <v>154</v>
      </c>
      <c r="B83" s="1" t="s">
        <v>158</v>
      </c>
      <c r="C83" s="1" t="s">
        <v>159</v>
      </c>
      <c r="D83" s="2">
        <v>45709</v>
      </c>
      <c r="E83" s="1" t="s">
        <v>13</v>
      </c>
      <c r="F83" s="1" t="str">
        <f>VLOOKUP(E83,Mapping!$A$1:$B$20,2,FALSE)</f>
        <v>Home</v>
      </c>
      <c r="G83" s="4">
        <v>5</v>
      </c>
      <c r="H83" s="4" t="str">
        <f t="shared" si="7"/>
        <v>OK</v>
      </c>
      <c r="I83" s="4" t="b">
        <f t="shared" si="8"/>
        <v>1</v>
      </c>
      <c r="J83" s="50">
        <v>557</v>
      </c>
      <c r="K83" s="50" t="str">
        <f>IF(OR(Table1[[#This Row],[Price]]&gt;$S$20,Table1[[#This Row],[Price]]&lt;$T$19),"Outlier","OK")</f>
        <v>OK</v>
      </c>
      <c r="L83" s="5" t="b">
        <f t="shared" si="9"/>
        <v>1</v>
      </c>
      <c r="M83" s="1" t="s">
        <v>15</v>
      </c>
      <c r="N83" s="1" t="s">
        <v>38</v>
      </c>
      <c r="O83" s="14">
        <v>0</v>
      </c>
      <c r="P83" s="14" t="str">
        <f>IF(AND(O83&lt;0,O83&lt;&gt;N100),"ERORR","OK")</f>
        <v>OK</v>
      </c>
    </row>
    <row r="84" spans="1:16" customFormat="1">
      <c r="A84" s="21">
        <v>195</v>
      </c>
      <c r="B84" s="1" t="s">
        <v>240</v>
      </c>
      <c r="C84" s="1" t="s">
        <v>241</v>
      </c>
      <c r="D84" s="2">
        <v>45827</v>
      </c>
      <c r="E84" s="1" t="s">
        <v>35</v>
      </c>
      <c r="F84" s="1" t="str">
        <f>VLOOKUP(E84,Mapping!$A$1:$B$20,2,FALSE)</f>
        <v>Books</v>
      </c>
      <c r="G84" s="4">
        <v>5</v>
      </c>
      <c r="H84" s="4" t="str">
        <f t="shared" si="7"/>
        <v>OK</v>
      </c>
      <c r="I84" s="4" t="b">
        <f t="shared" si="8"/>
        <v>1</v>
      </c>
      <c r="J84" s="50">
        <v>817.46</v>
      </c>
      <c r="K84" s="50" t="str">
        <f>IF(OR(Table1[[#This Row],[Price]]&gt;$S$20,Table1[[#This Row],[Price]]&lt;$T$19),"Outlier","OK")</f>
        <v>OK</v>
      </c>
      <c r="L84" s="5" t="b">
        <f t="shared" si="9"/>
        <v>1</v>
      </c>
      <c r="M84" s="1" t="s">
        <v>15</v>
      </c>
      <c r="N84" s="1" t="s">
        <v>44</v>
      </c>
      <c r="O84" s="14">
        <v>0</v>
      </c>
      <c r="P84" s="14" t="str">
        <f>IF(AND(O84&lt;0,O84&lt;&gt;N101),"ERORR","OK")</f>
        <v>OK</v>
      </c>
    </row>
    <row r="85" spans="1:16" customFormat="1">
      <c r="A85" s="21">
        <v>143</v>
      </c>
      <c r="B85" s="1" t="s">
        <v>133</v>
      </c>
      <c r="C85" s="1" t="s">
        <v>134</v>
      </c>
      <c r="D85" s="2">
        <v>45849</v>
      </c>
      <c r="E85" s="1" t="s">
        <v>114</v>
      </c>
      <c r="F85" s="1" t="str">
        <f>VLOOKUP(E85,Mapping!$A$1:$B$20,2,FALSE)</f>
        <v>Clothings</v>
      </c>
      <c r="G85" s="4">
        <v>5</v>
      </c>
      <c r="H85" s="4" t="str">
        <f t="shared" si="7"/>
        <v>OK</v>
      </c>
      <c r="I85" s="4" t="b">
        <f t="shared" si="8"/>
        <v>1</v>
      </c>
      <c r="J85" s="50">
        <v>826.77</v>
      </c>
      <c r="K85" s="50" t="str">
        <f>IF(OR(Table1[[#This Row],[Price]]&gt;$S$20,Table1[[#This Row],[Price]]&lt;$T$19),"Outlier","OK")</f>
        <v>OK</v>
      </c>
      <c r="L85" s="5" t="b">
        <f t="shared" si="9"/>
        <v>1</v>
      </c>
      <c r="M85" s="1" t="s">
        <v>41</v>
      </c>
      <c r="N85" s="1" t="s">
        <v>38</v>
      </c>
      <c r="O85" s="14">
        <v>0</v>
      </c>
      <c r="P85" s="14" t="str">
        <f>IF(AND(O85&lt;0,O85&lt;&gt;N101),"ERORR","OK")</f>
        <v>OK</v>
      </c>
    </row>
    <row r="86" spans="1:16" customFormat="1">
      <c r="A86" s="21">
        <v>144</v>
      </c>
      <c r="B86" s="1" t="s">
        <v>135</v>
      </c>
      <c r="C86" s="1" t="s">
        <v>136</v>
      </c>
      <c r="D86" s="2">
        <v>45684</v>
      </c>
      <c r="E86" s="1" t="s">
        <v>137</v>
      </c>
      <c r="F86" s="1" t="str">
        <f>VLOOKUP(E86,Mapping!$A$1:$B$20,2,FALSE)</f>
        <v>Sports</v>
      </c>
      <c r="G86" s="4">
        <v>5</v>
      </c>
      <c r="H86" s="4" t="str">
        <f t="shared" si="7"/>
        <v>OK</v>
      </c>
      <c r="I86" s="4" t="b">
        <f t="shared" si="8"/>
        <v>1</v>
      </c>
      <c r="J86" s="50">
        <v>849.07</v>
      </c>
      <c r="K86" s="50" t="str">
        <f>IF(OR(Table1[[#This Row],[Price]]&gt;$S$20,Table1[[#This Row],[Price]]&lt;$T$19),"Outlier","OK")</f>
        <v>OK</v>
      </c>
      <c r="L86" s="5" t="b">
        <f t="shared" si="9"/>
        <v>1</v>
      </c>
      <c r="M86" s="1" t="s">
        <v>41</v>
      </c>
      <c r="N86" s="1" t="s">
        <v>23</v>
      </c>
      <c r="O86" s="14">
        <f>Table1[[#This Row],[Price]]*Table1[[#This Row],[Quantity]]</f>
        <v>4245.3500000000004</v>
      </c>
      <c r="P86" s="14" t="str">
        <f>IF(AND(O86&lt;0,O86&lt;&gt;N101),"ERORR","OK")</f>
        <v>OK</v>
      </c>
    </row>
    <row r="87" spans="1:16" customFormat="1">
      <c r="A87" s="21">
        <v>149</v>
      </c>
      <c r="B87" s="1" t="s">
        <v>148</v>
      </c>
      <c r="C87" s="1" t="s">
        <v>149</v>
      </c>
      <c r="D87" s="2">
        <v>45837</v>
      </c>
      <c r="E87" s="1" t="s">
        <v>56</v>
      </c>
      <c r="F87" s="1" t="str">
        <f>VLOOKUP(E87,Mapping!$A$1:$B$20,2,FALSE)</f>
        <v>Books</v>
      </c>
      <c r="G87" s="4">
        <v>5</v>
      </c>
      <c r="H87" s="4" t="str">
        <f t="shared" si="7"/>
        <v>OK</v>
      </c>
      <c r="I87" s="4" t="b">
        <f t="shared" si="8"/>
        <v>1</v>
      </c>
      <c r="J87" s="50">
        <v>896.38</v>
      </c>
      <c r="K87" s="50" t="str">
        <f>IF(OR(Table1[[#This Row],[Price]]&gt;$S$20,Table1[[#This Row],[Price]]&lt;$T$19),"Outlier","OK")</f>
        <v>OK</v>
      </c>
      <c r="L87" s="5" t="b">
        <f t="shared" si="9"/>
        <v>1</v>
      </c>
      <c r="M87" s="1" t="s">
        <v>41</v>
      </c>
      <c r="N87" s="1" t="s">
        <v>38</v>
      </c>
      <c r="O87" s="14">
        <v>0</v>
      </c>
      <c r="P87" s="14" t="str">
        <f>IF(AND(O87&lt;0,O87&lt;&gt;N103),"ERORR","OK")</f>
        <v>OK</v>
      </c>
    </row>
    <row r="88" spans="1:16" customFormat="1">
      <c r="A88" s="21">
        <v>194</v>
      </c>
      <c r="B88" s="1" t="s">
        <v>238</v>
      </c>
      <c r="C88" s="1" t="s">
        <v>239</v>
      </c>
      <c r="D88" s="2">
        <v>45698</v>
      </c>
      <c r="E88" s="1" t="s">
        <v>99</v>
      </c>
      <c r="F88" s="1" t="str">
        <f>VLOOKUP(E88,Mapping!$A$1:$B$20,2,FALSE)</f>
        <v>Home</v>
      </c>
      <c r="G88" s="4">
        <v>5</v>
      </c>
      <c r="H88" s="4" t="str">
        <f t="shared" si="7"/>
        <v>OK</v>
      </c>
      <c r="I88" s="4" t="b">
        <f t="shared" si="8"/>
        <v>1</v>
      </c>
      <c r="J88" s="50">
        <v>944.54</v>
      </c>
      <c r="K88" s="50" t="str">
        <f>IF(OR(Table1[[#This Row],[Price]]&gt;$S$20,Table1[[#This Row],[Price]]&lt;$T$19),"Outlier","OK")</f>
        <v>OK</v>
      </c>
      <c r="L88" s="5" t="b">
        <f t="shared" si="9"/>
        <v>1</v>
      </c>
      <c r="M88" s="1" t="s">
        <v>15</v>
      </c>
      <c r="N88" s="1" t="s">
        <v>44</v>
      </c>
      <c r="O88" s="14">
        <v>0</v>
      </c>
      <c r="P88" s="14" t="str">
        <f>IF(AND(O88&lt;0,O88&lt;&gt;N105),"ERORR","OK")</f>
        <v>OK</v>
      </c>
    </row>
    <row r="89" spans="1:16" customFormat="1">
      <c r="A89" s="22">
        <v>117</v>
      </c>
      <c r="B89" s="15" t="s">
        <v>71</v>
      </c>
      <c r="C89" s="15" t="s">
        <v>72</v>
      </c>
      <c r="D89" s="10">
        <v>45700</v>
      </c>
      <c r="E89" s="15" t="s">
        <v>13</v>
      </c>
      <c r="F89" s="15" t="str">
        <f>VLOOKUP(E89,Mapping!$A$1:$B$20,2,FALSE)</f>
        <v>Home</v>
      </c>
      <c r="G89" s="16">
        <v>2</v>
      </c>
      <c r="H89" s="4" t="str">
        <f t="shared" si="7"/>
        <v>OK</v>
      </c>
      <c r="I89" s="16" t="b">
        <f t="shared" si="8"/>
        <v>1</v>
      </c>
      <c r="J89" s="51">
        <v>538</v>
      </c>
      <c r="K89" s="51" t="str">
        <f>IF(OR(Table1[[#This Row],[Price]]&gt;$S$20,Table1[[#This Row],[Price]]&lt;$T$19),"Outlier","OK")</f>
        <v>OK</v>
      </c>
      <c r="L89" s="17" t="b">
        <f t="shared" si="9"/>
        <v>1</v>
      </c>
      <c r="M89" s="15" t="s">
        <v>15</v>
      </c>
      <c r="N89" s="15" t="s">
        <v>23</v>
      </c>
      <c r="O89" s="14">
        <f>Table1[[#This Row],[Price]]*Table1[[#This Row],[Quantity]]</f>
        <v>1076</v>
      </c>
      <c r="P89" s="18" t="str">
        <f>IF(AND(O89&lt;0,O89&lt;&gt;N106),"ERORR","OK")</f>
        <v>OK</v>
      </c>
    </row>
  </sheetData>
  <conditionalFormatting sqref="K1:K1048576">
    <cfRule type="cellIs" dxfId="3" priority="4" operator="equal">
      <formula>"Outlier"</formula>
    </cfRule>
  </conditionalFormatting>
  <conditionalFormatting sqref="O98">
    <cfRule type="uniqueValues" dxfId="2" priority="2"/>
    <cfRule type="duplicateValues" dxfId="1" priority="3"/>
  </conditionalFormatting>
  <conditionalFormatting sqref="B1:B1048576">
    <cfRule type="duplicateValues" dxfId="0" priority="1"/>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3564-C309-4872-9E3D-B4A691AC2BD7}">
  <dimension ref="A1:E96"/>
  <sheetViews>
    <sheetView zoomScale="70" zoomScaleNormal="70" workbookViewId="0">
      <selection activeCell="F33" sqref="F33"/>
    </sheetView>
  </sheetViews>
  <sheetFormatPr defaultColWidth="16.28515625" defaultRowHeight="15"/>
  <cols>
    <col min="2" max="3" width="16.28515625" style="35"/>
    <col min="4" max="4" width="16.28515625" style="36"/>
    <col min="5" max="5" width="16.28515625" style="35"/>
  </cols>
  <sheetData>
    <row r="1" spans="1:4" customFormat="1">
      <c r="A1" s="1" t="s">
        <v>117</v>
      </c>
      <c r="B1" s="13" t="s">
        <v>20</v>
      </c>
      <c r="D1" s="34" t="s">
        <v>1</v>
      </c>
    </row>
    <row r="2" spans="1:4" customFormat="1">
      <c r="A2" s="1" t="s">
        <v>19</v>
      </c>
      <c r="B2" s="13" t="s">
        <v>20</v>
      </c>
      <c r="D2" s="33" t="s">
        <v>178</v>
      </c>
    </row>
    <row r="3" spans="1:4" customFormat="1">
      <c r="A3" s="1" t="s">
        <v>140</v>
      </c>
      <c r="B3" s="13" t="s">
        <v>20</v>
      </c>
      <c r="D3" s="33" t="s">
        <v>64</v>
      </c>
    </row>
    <row r="4" spans="1:4" customFormat="1">
      <c r="A4" s="1" t="s">
        <v>59</v>
      </c>
      <c r="B4" s="13" t="s">
        <v>250</v>
      </c>
      <c r="D4" s="33" t="s">
        <v>138</v>
      </c>
    </row>
    <row r="5" spans="1:4" customFormat="1">
      <c r="A5" s="1" t="s">
        <v>99</v>
      </c>
      <c r="B5" s="13" t="s">
        <v>14</v>
      </c>
      <c r="D5" s="33" t="s">
        <v>182</v>
      </c>
    </row>
    <row r="6" spans="1:4" customFormat="1">
      <c r="A6" s="1" t="s">
        <v>56</v>
      </c>
      <c r="B6" s="13" t="s">
        <v>32</v>
      </c>
      <c r="D6" s="33" t="s">
        <v>97</v>
      </c>
    </row>
    <row r="7" spans="1:4" customFormat="1">
      <c r="A7" s="1" t="s">
        <v>70</v>
      </c>
      <c r="B7" s="13" t="s">
        <v>14</v>
      </c>
      <c r="D7" s="33" t="s">
        <v>196</v>
      </c>
    </row>
    <row r="8" spans="1:4" customFormat="1">
      <c r="A8" s="1" t="s">
        <v>26</v>
      </c>
      <c r="B8" s="13" t="s">
        <v>27</v>
      </c>
      <c r="D8" s="33" t="s">
        <v>226</v>
      </c>
    </row>
    <row r="9" spans="1:4" customFormat="1">
      <c r="A9" s="1" t="s">
        <v>13</v>
      </c>
      <c r="B9" s="13" t="s">
        <v>14</v>
      </c>
      <c r="D9" s="33" t="s">
        <v>228</v>
      </c>
    </row>
    <row r="10" spans="1:4" customFormat="1">
      <c r="A10" s="1" t="s">
        <v>80</v>
      </c>
      <c r="B10" s="13" t="s">
        <v>27</v>
      </c>
      <c r="D10" s="33" t="s">
        <v>36</v>
      </c>
    </row>
    <row r="11" spans="1:4" customFormat="1">
      <c r="A11" s="1" t="s">
        <v>165</v>
      </c>
      <c r="B11" s="13" t="s">
        <v>250</v>
      </c>
      <c r="D11" s="33" t="s">
        <v>11</v>
      </c>
    </row>
    <row r="12" spans="1:4" customFormat="1">
      <c r="A12" s="1" t="s">
        <v>35</v>
      </c>
      <c r="B12" s="13" t="s">
        <v>32</v>
      </c>
      <c r="D12" s="33" t="s">
        <v>150</v>
      </c>
    </row>
    <row r="13" spans="1:4" customFormat="1">
      <c r="A13" s="1" t="s">
        <v>31</v>
      </c>
      <c r="B13" s="13" t="s">
        <v>32</v>
      </c>
      <c r="D13" s="33" t="s">
        <v>109</v>
      </c>
    </row>
    <row r="14" spans="1:4" customFormat="1">
      <c r="A14" s="1" t="s">
        <v>52</v>
      </c>
      <c r="B14" s="13" t="s">
        <v>27</v>
      </c>
      <c r="D14" s="33" t="s">
        <v>194</v>
      </c>
    </row>
    <row r="15" spans="1:4" customFormat="1">
      <c r="A15" s="1" t="s">
        <v>88</v>
      </c>
      <c r="B15" s="13" t="s">
        <v>14</v>
      </c>
      <c r="D15" s="33" t="s">
        <v>174</v>
      </c>
    </row>
    <row r="16" spans="1:4" customFormat="1">
      <c r="A16" s="11" t="s">
        <v>63</v>
      </c>
      <c r="B16" s="13" t="s">
        <v>32</v>
      </c>
      <c r="D16" s="33" t="s">
        <v>76</v>
      </c>
    </row>
    <row r="17" spans="1:4" customFormat="1">
      <c r="A17" s="1" t="s">
        <v>137</v>
      </c>
      <c r="B17" s="13" t="s">
        <v>27</v>
      </c>
      <c r="D17" s="33" t="s">
        <v>24</v>
      </c>
    </row>
    <row r="18" spans="1:4" customFormat="1">
      <c r="A18" s="1" t="s">
        <v>120</v>
      </c>
      <c r="B18" s="13" t="s">
        <v>20</v>
      </c>
      <c r="D18" s="33" t="s">
        <v>214</v>
      </c>
    </row>
    <row r="19" spans="1:4" customFormat="1">
      <c r="A19" s="1" t="s">
        <v>145</v>
      </c>
      <c r="B19" s="13" t="s">
        <v>250</v>
      </c>
      <c r="D19" s="33" t="s">
        <v>42</v>
      </c>
    </row>
    <row r="20" spans="1:4" customFormat="1">
      <c r="A20" s="1" t="s">
        <v>114</v>
      </c>
      <c r="B20" s="13" t="s">
        <v>250</v>
      </c>
      <c r="D20" s="33" t="s">
        <v>172</v>
      </c>
    </row>
    <row r="21" spans="1:4" customFormat="1">
      <c r="D21" s="33" t="s">
        <v>66</v>
      </c>
    </row>
    <row r="22" spans="1:4" customFormat="1">
      <c r="D22" s="33" t="s">
        <v>248</v>
      </c>
    </row>
    <row r="23" spans="1:4" customFormat="1">
      <c r="D23" s="33" t="s">
        <v>135</v>
      </c>
    </row>
    <row r="24" spans="1:4" customFormat="1">
      <c r="D24" s="33" t="s">
        <v>39</v>
      </c>
    </row>
    <row r="25" spans="1:4" customFormat="1">
      <c r="D25" s="33" t="s">
        <v>91</v>
      </c>
    </row>
    <row r="26" spans="1:4" customFormat="1">
      <c r="D26" s="33" t="s">
        <v>115</v>
      </c>
    </row>
    <row r="27" spans="1:4" customFormat="1">
      <c r="D27" s="33" t="s">
        <v>125</v>
      </c>
    </row>
    <row r="28" spans="1:4" customFormat="1">
      <c r="D28" s="33" t="s">
        <v>180</v>
      </c>
    </row>
    <row r="29" spans="1:4" customFormat="1">
      <c r="D29" s="33" t="s">
        <v>238</v>
      </c>
    </row>
    <row r="30" spans="1:4" customFormat="1">
      <c r="D30" s="33" t="s">
        <v>71</v>
      </c>
    </row>
    <row r="31" spans="1:4" customFormat="1">
      <c r="D31" s="33" t="s">
        <v>129</v>
      </c>
    </row>
    <row r="32" spans="1:4" customFormat="1">
      <c r="D32" s="33" t="s">
        <v>220</v>
      </c>
    </row>
    <row r="33" spans="4:4" customFormat="1">
      <c r="D33" s="33" t="s">
        <v>158</v>
      </c>
    </row>
    <row r="34" spans="4:4" customFormat="1">
      <c r="D34" s="33" t="s">
        <v>121</v>
      </c>
    </row>
    <row r="35" spans="4:4" customFormat="1">
      <c r="D35" s="33" t="s">
        <v>202</v>
      </c>
    </row>
    <row r="36" spans="4:4" customFormat="1">
      <c r="D36" s="33" t="s">
        <v>127</v>
      </c>
    </row>
    <row r="37" spans="4:4" customFormat="1">
      <c r="D37" s="33" t="s">
        <v>57</v>
      </c>
    </row>
    <row r="38" spans="4:4" customFormat="1">
      <c r="D38" s="33" t="s">
        <v>146</v>
      </c>
    </row>
    <row r="39" spans="4:4" customFormat="1">
      <c r="D39" s="33" t="s">
        <v>29</v>
      </c>
    </row>
    <row r="40" spans="4:4" customFormat="1">
      <c r="D40" s="33" t="s">
        <v>212</v>
      </c>
    </row>
    <row r="41" spans="4:4" customFormat="1">
      <c r="D41" s="33" t="s">
        <v>107</v>
      </c>
    </row>
    <row r="42" spans="4:4" customFormat="1">
      <c r="D42" s="33" t="s">
        <v>168</v>
      </c>
    </row>
    <row r="43" spans="4:4" customFormat="1">
      <c r="D43" s="33" t="s">
        <v>143</v>
      </c>
    </row>
    <row r="44" spans="4:4" customFormat="1">
      <c r="D44" s="33" t="s">
        <v>160</v>
      </c>
    </row>
    <row r="45" spans="4:4" customFormat="1">
      <c r="D45" s="33" t="s">
        <v>47</v>
      </c>
    </row>
    <row r="46" spans="4:4" customFormat="1">
      <c r="D46" s="33" t="s">
        <v>95</v>
      </c>
    </row>
    <row r="47" spans="4:4" customFormat="1">
      <c r="D47" s="33" t="s">
        <v>84</v>
      </c>
    </row>
    <row r="48" spans="4:4" customFormat="1">
      <c r="D48" s="33" t="s">
        <v>93</v>
      </c>
    </row>
    <row r="49" spans="4:4" customFormat="1">
      <c r="D49" s="33" t="s">
        <v>176</v>
      </c>
    </row>
    <row r="50" spans="4:4" customFormat="1">
      <c r="D50" s="33" t="s">
        <v>74</v>
      </c>
    </row>
    <row r="51" spans="4:4" customFormat="1">
      <c r="D51" s="33" t="s">
        <v>236</v>
      </c>
    </row>
    <row r="52" spans="4:4" customFormat="1">
      <c r="D52" s="33" t="s">
        <v>105</v>
      </c>
    </row>
    <row r="53" spans="4:4" customFormat="1">
      <c r="D53" s="33" t="s">
        <v>118</v>
      </c>
    </row>
    <row r="54" spans="4:4" customFormat="1">
      <c r="D54" s="33" t="s">
        <v>78</v>
      </c>
    </row>
    <row r="55" spans="4:4" customFormat="1">
      <c r="D55" s="33" t="s">
        <v>240</v>
      </c>
    </row>
    <row r="56" spans="4:4" customFormat="1">
      <c r="D56" s="33" t="s">
        <v>101</v>
      </c>
    </row>
    <row r="57" spans="4:4" customFormat="1">
      <c r="D57" s="33" t="s">
        <v>244</v>
      </c>
    </row>
    <row r="58" spans="4:4" customFormat="1">
      <c r="D58" s="33" t="s">
        <v>148</v>
      </c>
    </row>
    <row r="59" spans="4:4" customFormat="1">
      <c r="D59" s="33" t="s">
        <v>232</v>
      </c>
    </row>
    <row r="60" spans="4:4" customFormat="1">
      <c r="D60" s="33" t="s">
        <v>152</v>
      </c>
    </row>
    <row r="61" spans="4:4" customFormat="1">
      <c r="D61" s="33" t="s">
        <v>184</v>
      </c>
    </row>
    <row r="62" spans="4:4" customFormat="1">
      <c r="D62" s="33" t="s">
        <v>141</v>
      </c>
    </row>
    <row r="63" spans="4:4" customFormat="1">
      <c r="D63" s="33" t="s">
        <v>133</v>
      </c>
    </row>
    <row r="64" spans="4:4" customFormat="1">
      <c r="D64" s="33" t="s">
        <v>156</v>
      </c>
    </row>
    <row r="65" spans="4:4" customFormat="1">
      <c r="D65" s="33" t="s">
        <v>234</v>
      </c>
    </row>
    <row r="66" spans="4:4" customFormat="1">
      <c r="D66" s="33" t="s">
        <v>204</v>
      </c>
    </row>
    <row r="67" spans="4:4" customFormat="1">
      <c r="D67" s="33" t="s">
        <v>61</v>
      </c>
    </row>
    <row r="68" spans="4:4" customFormat="1">
      <c r="D68" s="33" t="s">
        <v>246</v>
      </c>
    </row>
    <row r="69" spans="4:4" customFormat="1">
      <c r="D69" s="33" t="s">
        <v>170</v>
      </c>
    </row>
    <row r="70" spans="4:4" customFormat="1">
      <c r="D70" s="33" t="s">
        <v>206</v>
      </c>
    </row>
    <row r="71" spans="4:4" customFormat="1">
      <c r="D71" s="33" t="s">
        <v>216</v>
      </c>
    </row>
    <row r="72" spans="4:4" customFormat="1">
      <c r="D72" s="33" t="s">
        <v>186</v>
      </c>
    </row>
    <row r="73" spans="4:4" customFormat="1">
      <c r="D73" s="33" t="s">
        <v>123</v>
      </c>
    </row>
    <row r="74" spans="4:4" customFormat="1">
      <c r="D74" s="33" t="s">
        <v>190</v>
      </c>
    </row>
    <row r="75" spans="4:4" customFormat="1">
      <c r="D75" s="33" t="s">
        <v>222</v>
      </c>
    </row>
    <row r="76" spans="4:4" customFormat="1">
      <c r="D76" s="33" t="s">
        <v>230</v>
      </c>
    </row>
    <row r="77" spans="4:4" customFormat="1">
      <c r="D77" s="33" t="s">
        <v>210</v>
      </c>
    </row>
    <row r="78" spans="4:4" customFormat="1">
      <c r="D78" s="33" t="s">
        <v>208</v>
      </c>
    </row>
    <row r="79" spans="4:4" customFormat="1">
      <c r="D79" s="33" t="s">
        <v>200</v>
      </c>
    </row>
    <row r="80" spans="4:4" customFormat="1">
      <c r="D80" s="33" t="s">
        <v>154</v>
      </c>
    </row>
    <row r="81" spans="2:5">
      <c r="B81"/>
      <c r="C81"/>
      <c r="D81" s="33" t="s">
        <v>50</v>
      </c>
      <c r="E81"/>
    </row>
    <row r="82" spans="2:5">
      <c r="B82"/>
      <c r="C82"/>
      <c r="D82" s="33" t="s">
        <v>192</v>
      </c>
      <c r="E82"/>
    </row>
    <row r="83" spans="2:5">
      <c r="B83"/>
      <c r="C83"/>
      <c r="D83" s="33" t="s">
        <v>112</v>
      </c>
      <c r="E83"/>
    </row>
    <row r="84" spans="2:5">
      <c r="B84"/>
      <c r="C84"/>
      <c r="D84" s="33" t="s">
        <v>86</v>
      </c>
      <c r="E84"/>
    </row>
    <row r="85" spans="2:5">
      <c r="B85"/>
      <c r="C85"/>
      <c r="D85" s="33" t="s">
        <v>224</v>
      </c>
      <c r="E85"/>
    </row>
    <row r="86" spans="2:5">
      <c r="B86"/>
      <c r="C86"/>
      <c r="D86" s="33" t="s">
        <v>82</v>
      </c>
      <c r="E86"/>
    </row>
    <row r="87" spans="2:5">
      <c r="B87"/>
      <c r="C87"/>
      <c r="D87" s="33" t="s">
        <v>198</v>
      </c>
      <c r="E87"/>
    </row>
    <row r="88" spans="2:5">
      <c r="B88"/>
      <c r="C88"/>
      <c r="D88" s="33" t="s">
        <v>33</v>
      </c>
      <c r="E88"/>
    </row>
    <row r="89" spans="2:5">
      <c r="B89"/>
      <c r="C89"/>
      <c r="D89" s="33" t="s">
        <v>54</v>
      </c>
      <c r="E89"/>
    </row>
    <row r="90" spans="2:5">
      <c r="B90"/>
      <c r="C90"/>
      <c r="D90" s="33" t="s">
        <v>45</v>
      </c>
      <c r="E90"/>
    </row>
    <row r="91" spans="2:5">
      <c r="B91"/>
      <c r="C91"/>
      <c r="D91" s="33" t="s">
        <v>131</v>
      </c>
      <c r="E91"/>
    </row>
    <row r="92" spans="2:5">
      <c r="B92"/>
      <c r="C92"/>
      <c r="D92" s="33" t="s">
        <v>188</v>
      </c>
      <c r="E92"/>
    </row>
    <row r="93" spans="2:5">
      <c r="B93"/>
      <c r="C93"/>
      <c r="D93" s="33" t="s">
        <v>166</v>
      </c>
      <c r="E93"/>
    </row>
    <row r="94" spans="2:5">
      <c r="B94"/>
      <c r="C94"/>
      <c r="D94"/>
      <c r="E94"/>
    </row>
    <row r="95" spans="2:5">
      <c r="B95"/>
      <c r="C95"/>
      <c r="D95"/>
      <c r="E95"/>
    </row>
    <row r="96" spans="2:5">
      <c r="D96" s="35"/>
    </row>
  </sheetData>
  <autoFilter ref="D1:D93" xr:uid="{9CD43A07-D5D3-451C-97A7-F12936DE4D1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9B95-D8DF-4CEB-B0B6-3B661AC63DF4}">
  <dimension ref="A1:Q103"/>
  <sheetViews>
    <sheetView topLeftCell="C1" workbookViewId="0">
      <selection activeCell="L108" sqref="L108"/>
    </sheetView>
  </sheetViews>
  <sheetFormatPr defaultColWidth="17.5703125" defaultRowHeight="15"/>
  <sheetData>
    <row r="1" spans="1:17">
      <c r="A1" s="1" t="s">
        <v>0</v>
      </c>
      <c r="B1" s="1" t="s">
        <v>1</v>
      </c>
      <c r="C1" s="1" t="s">
        <v>2</v>
      </c>
      <c r="D1" s="2" t="s">
        <v>3</v>
      </c>
      <c r="E1" s="8" t="s">
        <v>3</v>
      </c>
      <c r="F1" s="8" t="s">
        <v>3</v>
      </c>
      <c r="G1" s="1" t="s">
        <v>4</v>
      </c>
      <c r="H1" s="3" t="s">
        <v>5</v>
      </c>
      <c r="I1" s="4" t="s">
        <v>6</v>
      </c>
      <c r="J1" s="5" t="s">
        <v>7</v>
      </c>
      <c r="K1" s="5"/>
      <c r="L1" s="1" t="s">
        <v>8</v>
      </c>
      <c r="M1" s="1" t="s">
        <v>9</v>
      </c>
      <c r="N1" s="6" t="s">
        <v>10</v>
      </c>
      <c r="O1" s="53" t="s">
        <v>263</v>
      </c>
      <c r="P1" s="54">
        <f>_xlfn.QUARTILE.INC(F:F,1)</f>
        <v>45697</v>
      </c>
      <c r="Q1" s="55"/>
    </row>
    <row r="2" spans="1:17">
      <c r="A2" s="1">
        <v>163</v>
      </c>
      <c r="B2" s="1" t="s">
        <v>178</v>
      </c>
      <c r="C2" s="1" t="s">
        <v>179</v>
      </c>
      <c r="D2" s="2">
        <v>44931</v>
      </c>
      <c r="E2" s="2" t="b">
        <f t="shared" ref="E2:E33" si="0">ISNUMBER(D2)</f>
        <v>1</v>
      </c>
      <c r="F2" s="9">
        <v>44931</v>
      </c>
      <c r="G2" s="1" t="s">
        <v>117</v>
      </c>
      <c r="H2" s="3" t="s">
        <v>20</v>
      </c>
      <c r="I2" s="4">
        <v>3</v>
      </c>
      <c r="J2" s="5">
        <v>235.26</v>
      </c>
      <c r="K2" s="5"/>
      <c r="L2" s="1" t="s">
        <v>15</v>
      </c>
      <c r="M2" s="1" t="s">
        <v>16</v>
      </c>
      <c r="N2" s="6">
        <v>705.78</v>
      </c>
      <c r="O2" s="53" t="s">
        <v>264</v>
      </c>
      <c r="P2" s="54">
        <f>_xlfn.QUARTILE.INC(F:F,3)</f>
        <v>45875</v>
      </c>
      <c r="Q2" s="55"/>
    </row>
    <row r="3" spans="1:17">
      <c r="A3" s="1">
        <v>114</v>
      </c>
      <c r="B3" s="1" t="s">
        <v>64</v>
      </c>
      <c r="C3" s="1" t="s">
        <v>65</v>
      </c>
      <c r="D3" s="8">
        <v>44931</v>
      </c>
      <c r="E3" s="2" t="b">
        <f t="shared" si="0"/>
        <v>1</v>
      </c>
      <c r="F3" s="2">
        <f>DATE(RIGHT(D3,4),MONTH(1&amp;LEFT(D3,3)),MID(D3,5,2))</f>
        <v>1107386</v>
      </c>
      <c r="G3" s="1" t="s">
        <v>19</v>
      </c>
      <c r="H3" s="3" t="s">
        <v>20</v>
      </c>
      <c r="I3" s="4">
        <v>2</v>
      </c>
      <c r="J3" s="5">
        <v>413.13</v>
      </c>
      <c r="K3" s="5"/>
      <c r="L3" s="1" t="s">
        <v>15</v>
      </c>
      <c r="M3" s="1" t="s">
        <v>16</v>
      </c>
      <c r="N3" s="6">
        <v>826.26</v>
      </c>
      <c r="O3" s="53" t="s">
        <v>265</v>
      </c>
      <c r="P3" s="54">
        <f>P2-P1</f>
        <v>178</v>
      </c>
      <c r="Q3" s="55"/>
    </row>
    <row r="4" spans="1:17">
      <c r="A4" s="1">
        <v>145</v>
      </c>
      <c r="B4" s="1" t="s">
        <v>138</v>
      </c>
      <c r="C4" s="1" t="s">
        <v>139</v>
      </c>
      <c r="D4" s="2">
        <v>45047</v>
      </c>
      <c r="E4" s="2" t="b">
        <f t="shared" si="0"/>
        <v>1</v>
      </c>
      <c r="F4" s="9">
        <v>45047</v>
      </c>
      <c r="G4" s="1" t="s">
        <v>140</v>
      </c>
      <c r="H4" s="3" t="s">
        <v>20</v>
      </c>
      <c r="I4" s="4">
        <v>2</v>
      </c>
      <c r="J4" s="5">
        <v>860.99</v>
      </c>
      <c r="K4" s="5"/>
      <c r="L4" s="1" t="s">
        <v>41</v>
      </c>
      <c r="M4" s="1" t="s">
        <v>44</v>
      </c>
      <c r="N4" s="6">
        <v>1721.98</v>
      </c>
      <c r="O4" s="53" t="s">
        <v>266</v>
      </c>
      <c r="P4" s="55">
        <f>P1-(1.5*P3)</f>
        <v>45430</v>
      </c>
      <c r="Q4" s="55">
        <f>ABS(P4)</f>
        <v>45430</v>
      </c>
    </row>
    <row r="5" spans="1:17">
      <c r="A5" s="1">
        <v>165</v>
      </c>
      <c r="B5" s="1" t="s">
        <v>182</v>
      </c>
      <c r="C5" s="1" t="s">
        <v>183</v>
      </c>
      <c r="D5" s="2">
        <v>45604</v>
      </c>
      <c r="E5" s="2" t="b">
        <f t="shared" si="0"/>
        <v>1</v>
      </c>
      <c r="F5" s="9">
        <v>45604</v>
      </c>
      <c r="G5" s="1" t="s">
        <v>59</v>
      </c>
      <c r="H5" s="3" t="s">
        <v>60</v>
      </c>
      <c r="I5" s="4">
        <v>2</v>
      </c>
      <c r="J5" s="5">
        <v>443.13</v>
      </c>
      <c r="K5" s="5"/>
      <c r="L5" s="1" t="s">
        <v>49</v>
      </c>
      <c r="M5" s="1" t="s">
        <v>28</v>
      </c>
      <c r="N5" s="6">
        <v>886.26</v>
      </c>
      <c r="O5" s="53" t="s">
        <v>267</v>
      </c>
      <c r="P5" s="55">
        <f>P2+1.5*P3</f>
        <v>46142</v>
      </c>
      <c r="Q5" s="55"/>
    </row>
    <row r="6" spans="1:17">
      <c r="A6" s="1">
        <v>128</v>
      </c>
      <c r="B6" s="1" t="s">
        <v>97</v>
      </c>
      <c r="C6" s="1" t="s">
        <v>98</v>
      </c>
      <c r="D6" s="2">
        <v>45606</v>
      </c>
      <c r="E6" s="2" t="b">
        <f t="shared" si="0"/>
        <v>1</v>
      </c>
      <c r="F6" s="9">
        <v>45606</v>
      </c>
      <c r="G6" s="1" t="s">
        <v>99</v>
      </c>
      <c r="H6" s="3" t="s">
        <v>100</v>
      </c>
      <c r="I6" s="4">
        <v>3</v>
      </c>
      <c r="J6" s="5">
        <v>898.69</v>
      </c>
      <c r="K6" s="5"/>
      <c r="L6" s="1" t="s">
        <v>41</v>
      </c>
      <c r="M6" s="1" t="s">
        <v>28</v>
      </c>
      <c r="N6" s="6">
        <v>2696.07</v>
      </c>
    </row>
    <row r="7" spans="1:17">
      <c r="A7" s="1">
        <v>172</v>
      </c>
      <c r="B7" s="1" t="s">
        <v>196</v>
      </c>
      <c r="C7" s="1" t="s">
        <v>197</v>
      </c>
      <c r="D7" s="2">
        <v>45614</v>
      </c>
      <c r="E7" s="2" t="b">
        <f t="shared" si="0"/>
        <v>1</v>
      </c>
      <c r="F7" s="9">
        <v>45614</v>
      </c>
      <c r="G7" s="1" t="s">
        <v>56</v>
      </c>
      <c r="H7" s="3" t="s">
        <v>32</v>
      </c>
      <c r="I7" s="4">
        <v>2</v>
      </c>
      <c r="J7" s="5">
        <v>942.76</v>
      </c>
      <c r="K7" s="5"/>
      <c r="L7" s="1" t="s">
        <v>41</v>
      </c>
      <c r="M7" s="1" t="s">
        <v>44</v>
      </c>
      <c r="N7" s="6">
        <v>1885.52</v>
      </c>
    </row>
    <row r="8" spans="1:17">
      <c r="A8" s="1">
        <v>187</v>
      </c>
      <c r="B8" s="1" t="s">
        <v>226</v>
      </c>
      <c r="C8" s="1" t="s">
        <v>227</v>
      </c>
      <c r="D8" s="2">
        <v>45615</v>
      </c>
      <c r="E8" s="2" t="b">
        <f t="shared" si="0"/>
        <v>1</v>
      </c>
      <c r="F8" s="9">
        <v>45615</v>
      </c>
      <c r="G8" s="1" t="s">
        <v>19</v>
      </c>
      <c r="H8" s="3" t="s">
        <v>20</v>
      </c>
      <c r="I8" s="4">
        <v>3</v>
      </c>
      <c r="J8" s="5">
        <v>882.96</v>
      </c>
      <c r="K8" s="5"/>
      <c r="L8" s="1" t="s">
        <v>41</v>
      </c>
      <c r="M8" s="1" t="s">
        <v>44</v>
      </c>
      <c r="N8" s="6">
        <v>2648.88</v>
      </c>
    </row>
    <row r="9" spans="1:17">
      <c r="A9" s="1">
        <v>188</v>
      </c>
      <c r="B9" s="1" t="s">
        <v>228</v>
      </c>
      <c r="C9" s="1" t="s">
        <v>229</v>
      </c>
      <c r="D9" s="2">
        <v>45615</v>
      </c>
      <c r="E9" s="2" t="b">
        <f t="shared" si="0"/>
        <v>1</v>
      </c>
      <c r="F9" s="9">
        <v>45615</v>
      </c>
      <c r="G9" s="1" t="s">
        <v>70</v>
      </c>
      <c r="H9" s="3" t="s">
        <v>14</v>
      </c>
      <c r="I9" s="4">
        <v>5</v>
      </c>
      <c r="J9" s="5">
        <v>504.05</v>
      </c>
      <c r="K9" s="5"/>
      <c r="L9" s="1" t="s">
        <v>15</v>
      </c>
      <c r="M9" s="1" t="s">
        <v>16</v>
      </c>
      <c r="N9" s="6">
        <v>2520.25</v>
      </c>
    </row>
    <row r="10" spans="1:17">
      <c r="A10" s="1">
        <v>105</v>
      </c>
      <c r="B10" s="1" t="s">
        <v>36</v>
      </c>
      <c r="C10" s="1" t="s">
        <v>37</v>
      </c>
      <c r="D10" s="2">
        <v>45616</v>
      </c>
      <c r="E10" s="2" t="b">
        <f t="shared" si="0"/>
        <v>1</v>
      </c>
      <c r="F10" s="9">
        <v>45616</v>
      </c>
      <c r="G10" s="1" t="s">
        <v>26</v>
      </c>
      <c r="H10" s="3" t="s">
        <v>27</v>
      </c>
      <c r="I10" s="4">
        <v>3</v>
      </c>
      <c r="J10" s="5">
        <v>122.06</v>
      </c>
      <c r="K10" s="5"/>
      <c r="L10" s="1" t="s">
        <v>15</v>
      </c>
      <c r="M10" s="1" t="s">
        <v>38</v>
      </c>
      <c r="N10" s="6">
        <v>366.18</v>
      </c>
    </row>
    <row r="11" spans="1:17">
      <c r="A11" s="1">
        <v>100</v>
      </c>
      <c r="B11" s="1" t="s">
        <v>11</v>
      </c>
      <c r="C11" s="1" t="s">
        <v>12</v>
      </c>
      <c r="D11" s="2">
        <v>45618</v>
      </c>
      <c r="E11" s="2" t="b">
        <f t="shared" si="0"/>
        <v>1</v>
      </c>
      <c r="F11" s="9">
        <v>45618</v>
      </c>
      <c r="G11" s="1" t="s">
        <v>13</v>
      </c>
      <c r="H11" s="3" t="s">
        <v>14</v>
      </c>
      <c r="I11" s="4">
        <v>3</v>
      </c>
      <c r="J11" s="5">
        <v>38</v>
      </c>
      <c r="K11" s="5"/>
      <c r="L11" s="1" t="s">
        <v>15</v>
      </c>
      <c r="M11" s="1" t="s">
        <v>16</v>
      </c>
      <c r="N11" s="6">
        <v>114</v>
      </c>
    </row>
    <row r="12" spans="1:17">
      <c r="A12" s="1">
        <v>150</v>
      </c>
      <c r="B12" s="1" t="s">
        <v>150</v>
      </c>
      <c r="C12" s="1" t="s">
        <v>151</v>
      </c>
      <c r="D12" s="2">
        <v>45623</v>
      </c>
      <c r="E12" s="2" t="b">
        <f t="shared" si="0"/>
        <v>1</v>
      </c>
      <c r="F12" s="9">
        <v>45623</v>
      </c>
      <c r="G12" s="1" t="s">
        <v>80</v>
      </c>
      <c r="H12" s="3" t="s">
        <v>27</v>
      </c>
      <c r="I12" s="4">
        <v>1</v>
      </c>
      <c r="J12" s="5">
        <v>206.19</v>
      </c>
      <c r="K12" s="5"/>
      <c r="L12" s="1" t="s">
        <v>49</v>
      </c>
      <c r="M12" s="1" t="s">
        <v>44</v>
      </c>
      <c r="N12" s="6">
        <v>206.19</v>
      </c>
    </row>
    <row r="13" spans="1:17">
      <c r="A13" s="1">
        <v>156</v>
      </c>
      <c r="B13" s="1" t="s">
        <v>163</v>
      </c>
      <c r="C13" s="1" t="s">
        <v>164</v>
      </c>
      <c r="D13" s="2">
        <v>45624</v>
      </c>
      <c r="E13" s="2" t="b">
        <f t="shared" si="0"/>
        <v>1</v>
      </c>
      <c r="F13" s="9">
        <v>45624</v>
      </c>
      <c r="G13" s="1" t="s">
        <v>165</v>
      </c>
      <c r="H13" s="3" t="s">
        <v>60</v>
      </c>
      <c r="I13" s="4">
        <v>2</v>
      </c>
      <c r="J13" s="5"/>
      <c r="K13" s="5"/>
      <c r="L13" s="1" t="s">
        <v>41</v>
      </c>
      <c r="M13" s="1" t="s">
        <v>16</v>
      </c>
      <c r="N13" s="6"/>
    </row>
    <row r="14" spans="1:17">
      <c r="A14" s="1">
        <v>133</v>
      </c>
      <c r="B14" s="1" t="s">
        <v>109</v>
      </c>
      <c r="C14" s="1" t="s">
        <v>110</v>
      </c>
      <c r="D14" s="2">
        <v>45631</v>
      </c>
      <c r="E14" s="2" t="b">
        <f t="shared" si="0"/>
        <v>1</v>
      </c>
      <c r="F14" s="9">
        <v>45631</v>
      </c>
      <c r="G14" s="1" t="s">
        <v>35</v>
      </c>
      <c r="H14" s="3" t="s">
        <v>111</v>
      </c>
      <c r="I14" s="4">
        <v>5</v>
      </c>
      <c r="J14" s="5">
        <v>343.24</v>
      </c>
      <c r="K14" s="5"/>
      <c r="L14" s="1" t="s">
        <v>49</v>
      </c>
      <c r="M14" s="1" t="s">
        <v>16</v>
      </c>
      <c r="N14" s="6">
        <v>1716.2</v>
      </c>
    </row>
    <row r="15" spans="1:17">
      <c r="A15" s="1">
        <v>171</v>
      </c>
      <c r="B15" s="1" t="s">
        <v>194</v>
      </c>
      <c r="C15" s="1" t="s">
        <v>195</v>
      </c>
      <c r="D15" s="2">
        <v>45632</v>
      </c>
      <c r="E15" s="2" t="b">
        <f t="shared" si="0"/>
        <v>1</v>
      </c>
      <c r="F15" s="9">
        <v>45632</v>
      </c>
      <c r="G15" s="1" t="s">
        <v>59</v>
      </c>
      <c r="H15" s="3" t="s">
        <v>60</v>
      </c>
      <c r="I15" s="4">
        <v>3</v>
      </c>
      <c r="J15" s="5">
        <v>688.68</v>
      </c>
      <c r="K15" s="5"/>
      <c r="L15" s="1" t="s">
        <v>22</v>
      </c>
      <c r="M15" s="1" t="s">
        <v>23</v>
      </c>
      <c r="N15" s="6">
        <v>2066.04</v>
      </c>
    </row>
    <row r="16" spans="1:17">
      <c r="A16" s="1">
        <v>161</v>
      </c>
      <c r="B16" s="1" t="s">
        <v>174</v>
      </c>
      <c r="C16" s="1" t="s">
        <v>175</v>
      </c>
      <c r="D16" s="2">
        <v>45641</v>
      </c>
      <c r="E16" s="2" t="b">
        <f t="shared" si="0"/>
        <v>1</v>
      </c>
      <c r="F16" s="9">
        <v>45641</v>
      </c>
      <c r="G16" s="1" t="s">
        <v>31</v>
      </c>
      <c r="H16" s="3" t="s">
        <v>32</v>
      </c>
      <c r="I16" s="4">
        <v>4</v>
      </c>
      <c r="J16" s="5">
        <v>209.32</v>
      </c>
      <c r="K16" s="5"/>
      <c r="L16" s="1" t="s">
        <v>41</v>
      </c>
      <c r="M16" s="1" t="s">
        <v>16</v>
      </c>
      <c r="N16" s="6">
        <v>837.28</v>
      </c>
    </row>
    <row r="17" spans="1:14">
      <c r="A17" s="1">
        <v>119</v>
      </c>
      <c r="B17" s="1" t="s">
        <v>76</v>
      </c>
      <c r="C17" s="1" t="s">
        <v>77</v>
      </c>
      <c r="D17" s="2">
        <v>45645</v>
      </c>
      <c r="E17" s="2" t="b">
        <f t="shared" si="0"/>
        <v>1</v>
      </c>
      <c r="F17" s="9">
        <v>45645</v>
      </c>
      <c r="G17" s="1" t="s">
        <v>52</v>
      </c>
      <c r="H17" s="3" t="s">
        <v>27</v>
      </c>
      <c r="I17" s="4">
        <v>4</v>
      </c>
      <c r="J17" s="5">
        <v>438.19</v>
      </c>
      <c r="K17" s="5"/>
      <c r="L17" s="1" t="s">
        <v>15</v>
      </c>
      <c r="M17" s="1" t="s">
        <v>23</v>
      </c>
      <c r="N17" s="6">
        <v>1752.76</v>
      </c>
    </row>
    <row r="18" spans="1:14">
      <c r="A18" s="1">
        <v>102</v>
      </c>
      <c r="B18" s="1" t="s">
        <v>24</v>
      </c>
      <c r="C18" s="1" t="s">
        <v>25</v>
      </c>
      <c r="D18" s="2">
        <v>45649</v>
      </c>
      <c r="E18" s="2" t="b">
        <f t="shared" si="0"/>
        <v>1</v>
      </c>
      <c r="F18" s="9">
        <v>45649</v>
      </c>
      <c r="G18" s="1" t="s">
        <v>26</v>
      </c>
      <c r="H18" s="3" t="s">
        <v>27</v>
      </c>
      <c r="I18" s="4">
        <v>1</v>
      </c>
      <c r="J18" s="5">
        <v>389.05</v>
      </c>
      <c r="K18" s="5"/>
      <c r="L18" s="1" t="s">
        <v>22</v>
      </c>
      <c r="M18" s="1" t="s">
        <v>28</v>
      </c>
      <c r="N18" s="6">
        <v>389.05</v>
      </c>
    </row>
    <row r="19" spans="1:14">
      <c r="A19" s="1">
        <v>196</v>
      </c>
      <c r="B19" s="1" t="s">
        <v>242</v>
      </c>
      <c r="C19" s="1" t="s">
        <v>243</v>
      </c>
      <c r="D19" s="2">
        <v>45649</v>
      </c>
      <c r="E19" s="2" t="b">
        <f t="shared" si="0"/>
        <v>1</v>
      </c>
      <c r="F19" s="9">
        <v>45649</v>
      </c>
      <c r="G19" s="1" t="s">
        <v>88</v>
      </c>
      <c r="H19" s="3" t="s">
        <v>14</v>
      </c>
      <c r="I19" s="4"/>
      <c r="J19" s="5" t="s">
        <v>21</v>
      </c>
      <c r="K19" s="5"/>
      <c r="L19" s="1" t="s">
        <v>22</v>
      </c>
      <c r="M19" s="1" t="s">
        <v>28</v>
      </c>
      <c r="N19" s="6"/>
    </row>
    <row r="20" spans="1:14">
      <c r="A20" s="1">
        <v>181</v>
      </c>
      <c r="B20" s="1" t="s">
        <v>214</v>
      </c>
      <c r="C20" s="1" t="s">
        <v>215</v>
      </c>
      <c r="D20" s="2">
        <v>45655</v>
      </c>
      <c r="E20" s="2" t="b">
        <f t="shared" si="0"/>
        <v>1</v>
      </c>
      <c r="F20" s="9">
        <v>45655</v>
      </c>
      <c r="G20" s="1" t="s">
        <v>19</v>
      </c>
      <c r="H20" s="3" t="s">
        <v>111</v>
      </c>
      <c r="I20" s="4">
        <v>1</v>
      </c>
      <c r="J20" s="5">
        <v>266.48</v>
      </c>
      <c r="K20" s="5"/>
      <c r="L20" s="1" t="s">
        <v>15</v>
      </c>
      <c r="M20" s="1" t="s">
        <v>38</v>
      </c>
      <c r="N20" s="6">
        <v>266.48</v>
      </c>
    </row>
    <row r="21" spans="1:14">
      <c r="A21" s="1">
        <v>107</v>
      </c>
      <c r="B21" s="1" t="s">
        <v>42</v>
      </c>
      <c r="C21" s="1" t="s">
        <v>43</v>
      </c>
      <c r="D21" s="2">
        <v>45660</v>
      </c>
      <c r="E21" s="2" t="b">
        <f t="shared" si="0"/>
        <v>1</v>
      </c>
      <c r="F21" s="9">
        <v>45660</v>
      </c>
      <c r="G21" s="1" t="s">
        <v>35</v>
      </c>
      <c r="H21" s="3" t="s">
        <v>32</v>
      </c>
      <c r="I21" s="4">
        <v>5</v>
      </c>
      <c r="J21" s="5">
        <v>587.67999999999995</v>
      </c>
      <c r="K21" s="5"/>
      <c r="L21" s="1" t="s">
        <v>22</v>
      </c>
      <c r="M21" s="1" t="s">
        <v>44</v>
      </c>
      <c r="N21" s="6">
        <v>2938.4</v>
      </c>
    </row>
    <row r="22" spans="1:14">
      <c r="A22" s="1">
        <v>160</v>
      </c>
      <c r="B22" s="1" t="s">
        <v>172</v>
      </c>
      <c r="C22" s="1" t="s">
        <v>173</v>
      </c>
      <c r="D22" s="2">
        <v>45660</v>
      </c>
      <c r="E22" s="2" t="b">
        <f t="shared" si="0"/>
        <v>1</v>
      </c>
      <c r="F22" s="9">
        <v>45660</v>
      </c>
      <c r="G22" s="1" t="s">
        <v>31</v>
      </c>
      <c r="H22" s="3" t="s">
        <v>32</v>
      </c>
      <c r="I22" s="4">
        <v>5</v>
      </c>
      <c r="J22" s="5">
        <v>242.52</v>
      </c>
      <c r="K22" s="5"/>
      <c r="L22" s="1" t="s">
        <v>15</v>
      </c>
      <c r="M22" s="1" t="s">
        <v>44</v>
      </c>
      <c r="N22" s="6">
        <v>1212.5999999999999</v>
      </c>
    </row>
    <row r="23" spans="1:14">
      <c r="A23" s="1">
        <v>115</v>
      </c>
      <c r="B23" s="1" t="s">
        <v>66</v>
      </c>
      <c r="C23" s="1" t="s">
        <v>67</v>
      </c>
      <c r="D23" s="2">
        <v>45667</v>
      </c>
      <c r="E23" s="2" t="b">
        <f t="shared" si="0"/>
        <v>1</v>
      </c>
      <c r="F23" s="9">
        <v>45667</v>
      </c>
      <c r="G23" s="1" t="s">
        <v>63</v>
      </c>
      <c r="H23" s="3" t="s">
        <v>32</v>
      </c>
      <c r="I23" s="4">
        <v>2</v>
      </c>
      <c r="J23" s="5">
        <v>796.84</v>
      </c>
      <c r="K23" s="5"/>
      <c r="L23" s="1" t="s">
        <v>15</v>
      </c>
      <c r="M23" s="1" t="s">
        <v>44</v>
      </c>
      <c r="N23" s="6">
        <v>1115.576</v>
      </c>
    </row>
    <row r="24" spans="1:14">
      <c r="A24" s="1">
        <v>199</v>
      </c>
      <c r="B24" s="1" t="s">
        <v>248</v>
      </c>
      <c r="C24" s="1" t="s">
        <v>249</v>
      </c>
      <c r="D24" s="2">
        <v>45679</v>
      </c>
      <c r="E24" s="2" t="b">
        <f t="shared" si="0"/>
        <v>1</v>
      </c>
      <c r="F24" s="9">
        <v>45679</v>
      </c>
      <c r="G24" s="1" t="s">
        <v>13</v>
      </c>
      <c r="H24" s="3" t="s">
        <v>14</v>
      </c>
      <c r="I24" s="4">
        <v>5</v>
      </c>
      <c r="J24" s="5">
        <v>372.28</v>
      </c>
      <c r="K24" s="5"/>
      <c r="L24" s="1" t="s">
        <v>49</v>
      </c>
      <c r="M24" s="1" t="s">
        <v>16</v>
      </c>
      <c r="N24" s="6">
        <v>1861.4</v>
      </c>
    </row>
    <row r="25" spans="1:14">
      <c r="A25" s="1">
        <v>144</v>
      </c>
      <c r="B25" s="1" t="s">
        <v>135</v>
      </c>
      <c r="C25" s="1" t="s">
        <v>136</v>
      </c>
      <c r="D25" s="2">
        <v>45684</v>
      </c>
      <c r="E25" s="2" t="b">
        <f t="shared" si="0"/>
        <v>1</v>
      </c>
      <c r="F25" s="9">
        <v>45684</v>
      </c>
      <c r="G25" s="1" t="s">
        <v>137</v>
      </c>
      <c r="H25" s="3" t="s">
        <v>27</v>
      </c>
      <c r="I25" s="4">
        <v>5</v>
      </c>
      <c r="J25" s="5">
        <v>849.07</v>
      </c>
      <c r="K25" s="5"/>
      <c r="L25" s="1" t="s">
        <v>41</v>
      </c>
      <c r="M25" s="1" t="s">
        <v>23</v>
      </c>
      <c r="N25" s="6">
        <v>4245.3500000000004</v>
      </c>
    </row>
    <row r="26" spans="1:14">
      <c r="A26" s="1">
        <v>106</v>
      </c>
      <c r="B26" s="1" t="s">
        <v>39</v>
      </c>
      <c r="C26" s="1" t="s">
        <v>40</v>
      </c>
      <c r="D26" s="2">
        <v>45690</v>
      </c>
      <c r="E26" s="2" t="b">
        <f t="shared" si="0"/>
        <v>1</v>
      </c>
      <c r="F26" s="9">
        <v>45690</v>
      </c>
      <c r="G26" s="1" t="s">
        <v>13</v>
      </c>
      <c r="H26" s="3" t="s">
        <v>14</v>
      </c>
      <c r="I26" s="4"/>
      <c r="J26" s="5">
        <v>978.63</v>
      </c>
      <c r="K26" s="5"/>
      <c r="L26" s="1" t="s">
        <v>41</v>
      </c>
      <c r="M26" s="1" t="s">
        <v>23</v>
      </c>
      <c r="N26" s="6"/>
    </row>
    <row r="27" spans="1:14">
      <c r="A27" s="1">
        <v>125</v>
      </c>
      <c r="B27" s="1" t="s">
        <v>91</v>
      </c>
      <c r="C27" s="1" t="s">
        <v>92</v>
      </c>
      <c r="D27" s="2">
        <v>45697</v>
      </c>
      <c r="E27" s="2" t="b">
        <f t="shared" si="0"/>
        <v>1</v>
      </c>
      <c r="F27" s="9">
        <v>45697</v>
      </c>
      <c r="G27" s="1" t="s">
        <v>56</v>
      </c>
      <c r="H27" s="3" t="s">
        <v>32</v>
      </c>
      <c r="I27" s="4">
        <v>4</v>
      </c>
      <c r="J27" s="5">
        <v>765.69</v>
      </c>
      <c r="K27" s="5"/>
      <c r="L27" s="1" t="s">
        <v>22</v>
      </c>
      <c r="M27" s="1" t="s">
        <v>16</v>
      </c>
      <c r="N27" s="6">
        <v>3062.76</v>
      </c>
    </row>
    <row r="28" spans="1:14">
      <c r="A28" s="1">
        <v>135</v>
      </c>
      <c r="B28" s="1" t="s">
        <v>115</v>
      </c>
      <c r="C28" s="1" t="s">
        <v>116</v>
      </c>
      <c r="D28" s="2">
        <v>45697</v>
      </c>
      <c r="E28" s="2" t="b">
        <f t="shared" si="0"/>
        <v>1</v>
      </c>
      <c r="F28" s="9">
        <v>45697</v>
      </c>
      <c r="G28" s="1" t="s">
        <v>117</v>
      </c>
      <c r="H28" s="3" t="s">
        <v>100</v>
      </c>
      <c r="I28" s="4">
        <v>4</v>
      </c>
      <c r="J28" s="5">
        <v>446.19</v>
      </c>
      <c r="K28" s="5"/>
      <c r="L28" s="1" t="s">
        <v>15</v>
      </c>
      <c r="M28" s="1" t="s">
        <v>38</v>
      </c>
      <c r="N28" s="6">
        <v>1784.76</v>
      </c>
    </row>
    <row r="29" spans="1:14">
      <c r="A29" s="1">
        <v>139</v>
      </c>
      <c r="B29" s="1" t="s">
        <v>125</v>
      </c>
      <c r="C29" s="1" t="s">
        <v>126</v>
      </c>
      <c r="D29" s="2">
        <v>45697</v>
      </c>
      <c r="E29" s="2" t="b">
        <f t="shared" si="0"/>
        <v>1</v>
      </c>
      <c r="F29" s="9">
        <v>45697</v>
      </c>
      <c r="G29" s="1" t="s">
        <v>19</v>
      </c>
      <c r="H29" s="3" t="s">
        <v>20</v>
      </c>
      <c r="I29" s="4">
        <v>2</v>
      </c>
      <c r="J29" s="5">
        <v>681.38</v>
      </c>
      <c r="K29" s="5"/>
      <c r="L29" s="1" t="s">
        <v>49</v>
      </c>
      <c r="M29" s="1" t="s">
        <v>38</v>
      </c>
      <c r="N29" s="6">
        <v>1362.76</v>
      </c>
    </row>
    <row r="30" spans="1:14">
      <c r="A30" s="1">
        <v>164</v>
      </c>
      <c r="B30" s="1" t="s">
        <v>180</v>
      </c>
      <c r="C30" s="1" t="s">
        <v>181</v>
      </c>
      <c r="D30" s="2">
        <v>45697</v>
      </c>
      <c r="E30" s="2" t="b">
        <f t="shared" si="0"/>
        <v>1</v>
      </c>
      <c r="F30" s="9">
        <v>45697</v>
      </c>
      <c r="G30" s="1" t="s">
        <v>26</v>
      </c>
      <c r="H30" s="3" t="s">
        <v>27</v>
      </c>
      <c r="I30" s="4"/>
      <c r="J30" s="5">
        <v>587.64</v>
      </c>
      <c r="K30" s="5"/>
      <c r="L30" s="1" t="s">
        <v>49</v>
      </c>
      <c r="M30" s="1" t="s">
        <v>44</v>
      </c>
      <c r="N30" s="6"/>
    </row>
    <row r="31" spans="1:14">
      <c r="A31" s="1">
        <v>194</v>
      </c>
      <c r="B31" s="1" t="s">
        <v>238</v>
      </c>
      <c r="C31" s="1" t="s">
        <v>239</v>
      </c>
      <c r="D31" s="2">
        <v>45698</v>
      </c>
      <c r="E31" s="2" t="b">
        <f t="shared" si="0"/>
        <v>1</v>
      </c>
      <c r="F31" s="9">
        <v>45698</v>
      </c>
      <c r="G31" s="1" t="s">
        <v>99</v>
      </c>
      <c r="H31" s="3" t="s">
        <v>14</v>
      </c>
      <c r="I31" s="4">
        <v>5</v>
      </c>
      <c r="J31" s="5">
        <v>944.54</v>
      </c>
      <c r="K31" s="5"/>
      <c r="L31" s="1" t="s">
        <v>15</v>
      </c>
      <c r="M31" s="1" t="s">
        <v>44</v>
      </c>
      <c r="N31" s="6">
        <v>4722.7</v>
      </c>
    </row>
    <row r="32" spans="1:14">
      <c r="A32" s="1">
        <v>117</v>
      </c>
      <c r="B32" s="1" t="s">
        <v>71</v>
      </c>
      <c r="C32" s="1" t="s">
        <v>72</v>
      </c>
      <c r="D32" s="2">
        <v>45700</v>
      </c>
      <c r="E32" s="2" t="b">
        <f t="shared" si="0"/>
        <v>1</v>
      </c>
      <c r="F32" s="9">
        <v>45700</v>
      </c>
      <c r="G32" s="1" t="s">
        <v>13</v>
      </c>
      <c r="H32" s="3" t="s">
        <v>73</v>
      </c>
      <c r="I32" s="4">
        <v>-2</v>
      </c>
      <c r="J32" s="5">
        <v>10000</v>
      </c>
      <c r="K32" s="5"/>
      <c r="L32" s="1" t="s">
        <v>15</v>
      </c>
      <c r="M32" s="1" t="s">
        <v>23</v>
      </c>
      <c r="N32" s="6">
        <v>-20000</v>
      </c>
    </row>
    <row r="33" spans="1:14">
      <c r="A33" s="1">
        <v>141</v>
      </c>
      <c r="B33" s="1" t="s">
        <v>129</v>
      </c>
      <c r="C33" s="1" t="s">
        <v>130</v>
      </c>
      <c r="D33" s="2">
        <v>45701</v>
      </c>
      <c r="E33" s="2" t="b">
        <f t="shared" si="0"/>
        <v>1</v>
      </c>
      <c r="F33" s="9">
        <v>45701</v>
      </c>
      <c r="G33" s="1" t="s">
        <v>63</v>
      </c>
      <c r="H33" s="3" t="s">
        <v>32</v>
      </c>
      <c r="I33" s="4">
        <v>3</v>
      </c>
      <c r="J33" s="5">
        <v>546.04</v>
      </c>
      <c r="K33" s="5"/>
      <c r="L33" s="1" t="s">
        <v>15</v>
      </c>
      <c r="M33" s="1" t="s">
        <v>44</v>
      </c>
      <c r="N33" s="6">
        <v>1638.12</v>
      </c>
    </row>
    <row r="34" spans="1:14">
      <c r="A34" s="1">
        <v>184</v>
      </c>
      <c r="B34" s="1" t="s">
        <v>220</v>
      </c>
      <c r="C34" s="1" t="s">
        <v>221</v>
      </c>
      <c r="D34" s="2">
        <v>45703</v>
      </c>
      <c r="E34" s="2" t="b">
        <f t="shared" ref="E34:E65" si="1">ISNUMBER(D34)</f>
        <v>1</v>
      </c>
      <c r="F34" s="9">
        <v>45703</v>
      </c>
      <c r="G34" s="1" t="s">
        <v>165</v>
      </c>
      <c r="H34" s="3"/>
      <c r="I34" s="4">
        <v>4</v>
      </c>
      <c r="J34" s="5">
        <v>101.19</v>
      </c>
      <c r="K34" s="5"/>
      <c r="L34" s="1" t="s">
        <v>41</v>
      </c>
      <c r="M34" s="1" t="s">
        <v>23</v>
      </c>
      <c r="N34" s="6">
        <v>404.76</v>
      </c>
    </row>
    <row r="35" spans="1:14">
      <c r="A35" s="1">
        <v>154</v>
      </c>
      <c r="B35" s="1" t="s">
        <v>158</v>
      </c>
      <c r="C35" s="1" t="s">
        <v>159</v>
      </c>
      <c r="D35" s="2">
        <v>45709</v>
      </c>
      <c r="E35" s="2" t="b">
        <f t="shared" si="1"/>
        <v>1</v>
      </c>
      <c r="F35" s="9">
        <v>45709</v>
      </c>
      <c r="G35" s="1" t="s">
        <v>13</v>
      </c>
      <c r="H35" s="3" t="s">
        <v>14</v>
      </c>
      <c r="I35" s="4">
        <v>5</v>
      </c>
      <c r="J35" s="5">
        <v>789.64</v>
      </c>
      <c r="K35" s="5"/>
      <c r="L35" s="1" t="s">
        <v>15</v>
      </c>
      <c r="M35" s="1" t="s">
        <v>38</v>
      </c>
      <c r="N35" s="6">
        <v>3948.2</v>
      </c>
    </row>
    <row r="36" spans="1:14">
      <c r="A36" s="1">
        <v>137</v>
      </c>
      <c r="B36" s="1" t="s">
        <v>121</v>
      </c>
      <c r="C36" s="1" t="s">
        <v>122</v>
      </c>
      <c r="D36" s="2">
        <v>45711</v>
      </c>
      <c r="E36" s="2" t="b">
        <f t="shared" si="1"/>
        <v>1</v>
      </c>
      <c r="F36" s="9">
        <v>45711</v>
      </c>
      <c r="G36" s="1" t="s">
        <v>88</v>
      </c>
      <c r="H36" s="3" t="s">
        <v>14</v>
      </c>
      <c r="I36" s="4">
        <v>3</v>
      </c>
      <c r="J36" s="5">
        <v>-100</v>
      </c>
      <c r="K36" s="5"/>
      <c r="L36" s="1" t="s">
        <v>15</v>
      </c>
      <c r="M36" s="1" t="s">
        <v>28</v>
      </c>
      <c r="N36" s="6">
        <v>-300</v>
      </c>
    </row>
    <row r="37" spans="1:14">
      <c r="A37" s="1">
        <v>175</v>
      </c>
      <c r="B37" s="1" t="s">
        <v>202</v>
      </c>
      <c r="C37" s="1" t="s">
        <v>203</v>
      </c>
      <c r="D37" s="2">
        <v>45712</v>
      </c>
      <c r="E37" s="2" t="b">
        <f t="shared" si="1"/>
        <v>1</v>
      </c>
      <c r="F37" s="9">
        <v>45712</v>
      </c>
      <c r="G37" s="1" t="s">
        <v>120</v>
      </c>
      <c r="H37" s="3" t="s">
        <v>20</v>
      </c>
      <c r="I37" s="4">
        <v>1</v>
      </c>
      <c r="J37" s="5">
        <v>111.36</v>
      </c>
      <c r="K37" s="5"/>
      <c r="L37" s="1" t="s">
        <v>49</v>
      </c>
      <c r="M37" s="1" t="s">
        <v>23</v>
      </c>
      <c r="N37" s="6">
        <v>111.36</v>
      </c>
    </row>
    <row r="38" spans="1:14">
      <c r="A38" s="1">
        <v>175</v>
      </c>
      <c r="B38" s="1" t="s">
        <v>202</v>
      </c>
      <c r="C38" s="1" t="s">
        <v>203</v>
      </c>
      <c r="D38" s="2">
        <v>45712</v>
      </c>
      <c r="E38" s="2" t="b">
        <f t="shared" si="1"/>
        <v>1</v>
      </c>
      <c r="F38" s="9">
        <v>45712</v>
      </c>
      <c r="G38" s="1" t="s">
        <v>120</v>
      </c>
      <c r="H38" s="3" t="s">
        <v>20</v>
      </c>
      <c r="I38" s="4">
        <v>1</v>
      </c>
      <c r="J38" s="5">
        <v>111.36</v>
      </c>
      <c r="K38" s="5"/>
      <c r="L38" s="1" t="s">
        <v>49</v>
      </c>
      <c r="M38" s="1" t="s">
        <v>23</v>
      </c>
      <c r="N38" s="6">
        <v>77.951999999999998</v>
      </c>
    </row>
    <row r="39" spans="1:14">
      <c r="A39" s="1">
        <v>140</v>
      </c>
      <c r="B39" s="1" t="s">
        <v>127</v>
      </c>
      <c r="C39" s="1" t="s">
        <v>128</v>
      </c>
      <c r="D39" s="2">
        <v>45714</v>
      </c>
      <c r="E39" s="2" t="b">
        <f t="shared" si="1"/>
        <v>1</v>
      </c>
      <c r="F39" s="9">
        <v>45714</v>
      </c>
      <c r="G39" s="1" t="s">
        <v>63</v>
      </c>
      <c r="H39" s="3" t="s">
        <v>32</v>
      </c>
      <c r="I39" s="4">
        <v>4</v>
      </c>
      <c r="J39" s="5">
        <v>588.98</v>
      </c>
      <c r="K39" s="5"/>
      <c r="L39" s="1" t="s">
        <v>49</v>
      </c>
      <c r="M39" s="1" t="s">
        <v>44</v>
      </c>
      <c r="N39" s="6">
        <v>2355.92</v>
      </c>
    </row>
    <row r="40" spans="1:14">
      <c r="A40" s="1">
        <v>112</v>
      </c>
      <c r="B40" s="1" t="s">
        <v>57</v>
      </c>
      <c r="C40" s="1" t="s">
        <v>58</v>
      </c>
      <c r="D40" s="2">
        <v>45718</v>
      </c>
      <c r="E40" s="2" t="b">
        <f t="shared" si="1"/>
        <v>1</v>
      </c>
      <c r="F40" s="9">
        <v>45718</v>
      </c>
      <c r="G40" s="1" t="s">
        <v>59</v>
      </c>
      <c r="H40" s="3" t="s">
        <v>60</v>
      </c>
      <c r="I40" s="4">
        <v>4</v>
      </c>
      <c r="J40" s="5">
        <v>752.13</v>
      </c>
      <c r="K40" s="5"/>
      <c r="L40" s="1" t="s">
        <v>41</v>
      </c>
      <c r="M40" s="1" t="s">
        <v>28</v>
      </c>
      <c r="N40" s="6">
        <v>3008.52</v>
      </c>
    </row>
    <row r="41" spans="1:14">
      <c r="A41" s="1">
        <v>183</v>
      </c>
      <c r="B41" s="1" t="s">
        <v>218</v>
      </c>
      <c r="C41" s="1" t="s">
        <v>219</v>
      </c>
      <c r="D41" s="2">
        <v>45726</v>
      </c>
      <c r="E41" s="2" t="b">
        <f t="shared" si="1"/>
        <v>1</v>
      </c>
      <c r="F41" s="9">
        <v>45726</v>
      </c>
      <c r="G41" s="1" t="s">
        <v>59</v>
      </c>
      <c r="H41" s="3" t="s">
        <v>60</v>
      </c>
      <c r="I41" s="4">
        <v>5</v>
      </c>
      <c r="J41" s="5"/>
      <c r="K41" s="5"/>
      <c r="L41" s="1" t="s">
        <v>15</v>
      </c>
      <c r="M41" s="1" t="s">
        <v>44</v>
      </c>
      <c r="N41" s="6"/>
    </row>
    <row r="42" spans="1:14">
      <c r="A42" s="1">
        <v>148</v>
      </c>
      <c r="B42" s="1" t="s">
        <v>146</v>
      </c>
      <c r="C42" s="1" t="s">
        <v>147</v>
      </c>
      <c r="D42" s="2">
        <v>45729</v>
      </c>
      <c r="E42" s="2" t="b">
        <f t="shared" si="1"/>
        <v>1</v>
      </c>
      <c r="F42" s="9">
        <v>45729</v>
      </c>
      <c r="G42" s="1" t="s">
        <v>26</v>
      </c>
      <c r="H42" s="3" t="s">
        <v>27</v>
      </c>
      <c r="I42" s="4">
        <v>1</v>
      </c>
      <c r="J42" s="5">
        <v>660.98</v>
      </c>
      <c r="K42" s="5"/>
      <c r="L42" s="1" t="s">
        <v>15</v>
      </c>
      <c r="M42" s="1" t="s">
        <v>44</v>
      </c>
      <c r="N42" s="6">
        <v>660.98</v>
      </c>
    </row>
    <row r="43" spans="1:14">
      <c r="A43" s="1">
        <v>103</v>
      </c>
      <c r="B43" s="1" t="s">
        <v>29</v>
      </c>
      <c r="C43" s="1" t="s">
        <v>30</v>
      </c>
      <c r="D43" s="2">
        <v>45735</v>
      </c>
      <c r="E43" s="2" t="b">
        <f t="shared" si="1"/>
        <v>1</v>
      </c>
      <c r="F43" s="9">
        <v>45735</v>
      </c>
      <c r="G43" s="1" t="s">
        <v>31</v>
      </c>
      <c r="H43" s="3" t="s">
        <v>32</v>
      </c>
      <c r="I43" s="4">
        <v>5</v>
      </c>
      <c r="J43" s="5">
        <v>233.92</v>
      </c>
      <c r="K43" s="5"/>
      <c r="L43" s="1" t="s">
        <v>22</v>
      </c>
      <c r="M43" s="1" t="s">
        <v>23</v>
      </c>
      <c r="N43" s="6">
        <v>1169.5999999999999</v>
      </c>
    </row>
    <row r="44" spans="1:14">
      <c r="A44" s="1">
        <v>180</v>
      </c>
      <c r="B44" s="1" t="s">
        <v>212</v>
      </c>
      <c r="C44" s="1" t="s">
        <v>213</v>
      </c>
      <c r="D44" s="2">
        <v>45742</v>
      </c>
      <c r="E44" s="2" t="b">
        <f t="shared" si="1"/>
        <v>1</v>
      </c>
      <c r="F44" s="9">
        <v>45742</v>
      </c>
      <c r="G44" s="1" t="s">
        <v>140</v>
      </c>
      <c r="H44" s="3"/>
      <c r="I44" s="4">
        <v>2</v>
      </c>
      <c r="J44" s="5">
        <v>418.38</v>
      </c>
      <c r="K44" s="5"/>
      <c r="L44" s="1" t="s">
        <v>49</v>
      </c>
      <c r="M44" s="1" t="s">
        <v>23</v>
      </c>
      <c r="N44" s="6">
        <v>836.76</v>
      </c>
    </row>
    <row r="45" spans="1:14">
      <c r="A45" s="1">
        <v>132</v>
      </c>
      <c r="B45" s="1" t="s">
        <v>107</v>
      </c>
      <c r="C45" s="1" t="s">
        <v>108</v>
      </c>
      <c r="D45" s="2">
        <v>45749</v>
      </c>
      <c r="E45" s="2" t="b">
        <f t="shared" si="1"/>
        <v>1</v>
      </c>
      <c r="F45" s="9">
        <v>45749</v>
      </c>
      <c r="G45" s="1" t="s">
        <v>80</v>
      </c>
      <c r="H45" s="3" t="s">
        <v>81</v>
      </c>
      <c r="I45" s="4">
        <v>1</v>
      </c>
      <c r="J45" s="5">
        <v>266.7</v>
      </c>
      <c r="K45" s="5"/>
      <c r="L45" s="1" t="s">
        <v>22</v>
      </c>
      <c r="M45" s="1" t="s">
        <v>28</v>
      </c>
      <c r="N45" s="6">
        <v>266.7</v>
      </c>
    </row>
    <row r="46" spans="1:14">
      <c r="A46" s="1">
        <v>158</v>
      </c>
      <c r="B46" s="1" t="s">
        <v>168</v>
      </c>
      <c r="C46" s="1" t="s">
        <v>169</v>
      </c>
      <c r="D46" s="2">
        <v>45752</v>
      </c>
      <c r="E46" s="2" t="b">
        <f t="shared" si="1"/>
        <v>1</v>
      </c>
      <c r="F46" s="9">
        <v>45752</v>
      </c>
      <c r="G46" s="1" t="s">
        <v>117</v>
      </c>
      <c r="H46" s="3" t="s">
        <v>20</v>
      </c>
      <c r="I46" s="4">
        <v>1</v>
      </c>
      <c r="J46" s="5">
        <v>933.58</v>
      </c>
      <c r="K46" s="5"/>
      <c r="L46" s="1" t="s">
        <v>15</v>
      </c>
      <c r="M46" s="1" t="s">
        <v>16</v>
      </c>
      <c r="N46" s="6">
        <v>933.58</v>
      </c>
    </row>
    <row r="47" spans="1:14">
      <c r="A47" s="1">
        <v>147</v>
      </c>
      <c r="B47" s="1" t="s">
        <v>143</v>
      </c>
      <c r="C47" s="1" t="s">
        <v>144</v>
      </c>
      <c r="D47" s="2">
        <v>45778</v>
      </c>
      <c r="E47" s="2" t="b">
        <f t="shared" si="1"/>
        <v>1</v>
      </c>
      <c r="F47" s="9">
        <v>45778</v>
      </c>
      <c r="G47" s="1" t="s">
        <v>145</v>
      </c>
      <c r="H47" s="3" t="s">
        <v>60</v>
      </c>
      <c r="I47" s="4">
        <v>4</v>
      </c>
      <c r="J47" s="5">
        <v>596.15</v>
      </c>
      <c r="K47" s="5"/>
      <c r="L47" s="1" t="s">
        <v>15</v>
      </c>
      <c r="M47" s="1" t="s">
        <v>16</v>
      </c>
      <c r="N47" s="6">
        <v>2384.6</v>
      </c>
    </row>
    <row r="48" spans="1:14">
      <c r="A48" s="1">
        <v>155</v>
      </c>
      <c r="B48" s="1" t="s">
        <v>160</v>
      </c>
      <c r="C48" s="1" t="s">
        <v>161</v>
      </c>
      <c r="D48" s="2">
        <v>45778</v>
      </c>
      <c r="E48" s="2" t="b">
        <f t="shared" si="1"/>
        <v>1</v>
      </c>
      <c r="F48" s="9">
        <v>45778</v>
      </c>
      <c r="G48" s="1" t="s">
        <v>162</v>
      </c>
      <c r="H48" s="3" t="s">
        <v>60</v>
      </c>
      <c r="I48" s="4">
        <v>1</v>
      </c>
      <c r="J48" s="5">
        <v>40.950000000000003</v>
      </c>
      <c r="K48" s="5"/>
      <c r="L48" s="1" t="s">
        <v>22</v>
      </c>
      <c r="M48" s="1" t="s">
        <v>44</v>
      </c>
      <c r="N48" s="6">
        <v>40.950000000000003</v>
      </c>
    </row>
    <row r="49" spans="1:14">
      <c r="A49" s="1">
        <v>109</v>
      </c>
      <c r="B49" s="1" t="s">
        <v>47</v>
      </c>
      <c r="C49" s="1" t="s">
        <v>48</v>
      </c>
      <c r="D49" s="2">
        <v>45780</v>
      </c>
      <c r="E49" s="2" t="b">
        <f t="shared" si="1"/>
        <v>1</v>
      </c>
      <c r="F49" s="9">
        <v>45780</v>
      </c>
      <c r="G49" s="1" t="s">
        <v>26</v>
      </c>
      <c r="H49" s="3" t="s">
        <v>27</v>
      </c>
      <c r="I49" s="4">
        <v>5</v>
      </c>
      <c r="J49" s="5">
        <v>168.34</v>
      </c>
      <c r="K49" s="5"/>
      <c r="L49" s="1" t="s">
        <v>49</v>
      </c>
      <c r="M49" s="1" t="s">
        <v>16</v>
      </c>
      <c r="N49" s="6">
        <v>841.7</v>
      </c>
    </row>
    <row r="50" spans="1:14">
      <c r="A50" s="1">
        <v>127</v>
      </c>
      <c r="B50" s="1" t="s">
        <v>95</v>
      </c>
      <c r="C50" s="1" t="s">
        <v>96</v>
      </c>
      <c r="D50" s="2">
        <v>45789</v>
      </c>
      <c r="E50" s="2" t="b">
        <f t="shared" si="1"/>
        <v>1</v>
      </c>
      <c r="F50" s="9">
        <v>45789</v>
      </c>
      <c r="G50" s="1" t="s">
        <v>13</v>
      </c>
      <c r="H50" s="3" t="s">
        <v>14</v>
      </c>
      <c r="I50" s="4">
        <v>5</v>
      </c>
      <c r="J50" s="5">
        <v>336.02</v>
      </c>
      <c r="K50" s="5"/>
      <c r="L50" s="1" t="s">
        <v>41</v>
      </c>
      <c r="M50" s="1" t="s">
        <v>44</v>
      </c>
      <c r="N50" s="6">
        <v>1680.1</v>
      </c>
    </row>
    <row r="51" spans="1:14">
      <c r="A51" s="1">
        <v>122</v>
      </c>
      <c r="B51" s="1" t="s">
        <v>84</v>
      </c>
      <c r="C51" s="1" t="s">
        <v>85</v>
      </c>
      <c r="D51" s="2">
        <v>45793</v>
      </c>
      <c r="E51" s="2" t="b">
        <f t="shared" si="1"/>
        <v>1</v>
      </c>
      <c r="F51" s="9">
        <v>45793</v>
      </c>
      <c r="G51" s="1" t="s">
        <v>70</v>
      </c>
      <c r="H51" s="3" t="s">
        <v>14</v>
      </c>
      <c r="I51" s="4">
        <v>2</v>
      </c>
      <c r="J51" s="5">
        <v>556.92999999999995</v>
      </c>
      <c r="K51" s="5"/>
      <c r="L51" s="1" t="s">
        <v>22</v>
      </c>
      <c r="M51" s="1" t="s">
        <v>16</v>
      </c>
      <c r="N51" s="6">
        <v>1113.8599999999999</v>
      </c>
    </row>
    <row r="52" spans="1:14">
      <c r="A52" s="1">
        <v>126</v>
      </c>
      <c r="B52" s="1" t="s">
        <v>93</v>
      </c>
      <c r="C52" s="1" t="s">
        <v>94</v>
      </c>
      <c r="D52" s="2">
        <v>45795</v>
      </c>
      <c r="E52" s="2" t="b">
        <f t="shared" si="1"/>
        <v>1</v>
      </c>
      <c r="F52" s="9">
        <v>45795</v>
      </c>
      <c r="G52" s="1" t="s">
        <v>59</v>
      </c>
      <c r="H52" s="3" t="s">
        <v>60</v>
      </c>
      <c r="I52" s="4">
        <v>4</v>
      </c>
      <c r="J52" s="5">
        <v>836.8</v>
      </c>
      <c r="K52" s="5"/>
      <c r="L52" s="1" t="s">
        <v>41</v>
      </c>
      <c r="M52" s="1" t="s">
        <v>38</v>
      </c>
      <c r="N52" s="6">
        <v>3347.2</v>
      </c>
    </row>
    <row r="53" spans="1:14">
      <c r="A53" s="1">
        <v>162</v>
      </c>
      <c r="B53" s="1" t="s">
        <v>176</v>
      </c>
      <c r="C53" s="1" t="s">
        <v>177</v>
      </c>
      <c r="D53" s="2">
        <v>45796</v>
      </c>
      <c r="E53" s="2" t="b">
        <f t="shared" si="1"/>
        <v>1</v>
      </c>
      <c r="F53" s="9">
        <v>45796</v>
      </c>
      <c r="G53" s="1" t="s">
        <v>13</v>
      </c>
      <c r="H53" s="3" t="s">
        <v>14</v>
      </c>
      <c r="I53" s="4">
        <v>2</v>
      </c>
      <c r="J53" s="5">
        <v>155.76</v>
      </c>
      <c r="K53" s="5"/>
      <c r="L53" s="1" t="s">
        <v>49</v>
      </c>
      <c r="M53" s="1" t="s">
        <v>44</v>
      </c>
      <c r="N53" s="6">
        <v>311.52</v>
      </c>
    </row>
    <row r="54" spans="1:14">
      <c r="A54" s="1">
        <v>118</v>
      </c>
      <c r="B54" s="1" t="s">
        <v>74</v>
      </c>
      <c r="C54" s="1" t="s">
        <v>75</v>
      </c>
      <c r="D54" s="2">
        <v>45808</v>
      </c>
      <c r="E54" s="2" t="b">
        <f t="shared" si="1"/>
        <v>1</v>
      </c>
      <c r="F54" s="9">
        <v>45808</v>
      </c>
      <c r="G54" s="1" t="s">
        <v>31</v>
      </c>
      <c r="H54" s="3" t="s">
        <v>32</v>
      </c>
      <c r="I54" s="4">
        <v>5</v>
      </c>
      <c r="J54" s="5">
        <v>247.82</v>
      </c>
      <c r="K54" s="5"/>
      <c r="L54" s="1" t="s">
        <v>22</v>
      </c>
      <c r="M54" s="1" t="s">
        <v>23</v>
      </c>
      <c r="N54" s="6">
        <v>1239.0999999999999</v>
      </c>
    </row>
    <row r="55" spans="1:14">
      <c r="A55" s="1">
        <v>124</v>
      </c>
      <c r="B55" s="1" t="s">
        <v>89</v>
      </c>
      <c r="C55" s="1" t="s">
        <v>90</v>
      </c>
      <c r="D55" s="2">
        <v>45808</v>
      </c>
      <c r="E55" s="2" t="b">
        <f t="shared" si="1"/>
        <v>1</v>
      </c>
      <c r="F55" s="9">
        <v>45808</v>
      </c>
      <c r="G55" s="1" t="s">
        <v>56</v>
      </c>
      <c r="H55" s="3" t="s">
        <v>32</v>
      </c>
      <c r="I55" s="4">
        <v>5</v>
      </c>
      <c r="J55" s="5"/>
      <c r="K55" s="5"/>
      <c r="L55" s="1" t="s">
        <v>22</v>
      </c>
      <c r="M55" s="1" t="s">
        <v>38</v>
      </c>
      <c r="N55" s="6"/>
    </row>
    <row r="56" spans="1:14">
      <c r="A56" s="1">
        <v>193</v>
      </c>
      <c r="B56" s="1" t="s">
        <v>236</v>
      </c>
      <c r="C56" s="1" t="s">
        <v>237</v>
      </c>
      <c r="D56" s="2">
        <v>45814</v>
      </c>
      <c r="E56" s="2" t="b">
        <f t="shared" si="1"/>
        <v>1</v>
      </c>
      <c r="F56" s="9">
        <v>45814</v>
      </c>
      <c r="G56" s="1" t="s">
        <v>52</v>
      </c>
      <c r="H56" s="3"/>
      <c r="I56" s="4"/>
      <c r="J56" s="5">
        <v>522.02</v>
      </c>
      <c r="K56" s="5"/>
      <c r="L56" s="1" t="s">
        <v>22</v>
      </c>
      <c r="M56" s="1" t="s">
        <v>16</v>
      </c>
      <c r="N56" s="6"/>
    </row>
    <row r="57" spans="1:14">
      <c r="A57" s="1">
        <v>131</v>
      </c>
      <c r="B57" s="1" t="s">
        <v>105</v>
      </c>
      <c r="C57" s="1" t="s">
        <v>106</v>
      </c>
      <c r="D57" s="2">
        <v>45819</v>
      </c>
      <c r="E57" s="2" t="b">
        <f t="shared" si="1"/>
        <v>1</v>
      </c>
      <c r="F57" s="9">
        <v>45819</v>
      </c>
      <c r="G57" s="1" t="s">
        <v>99</v>
      </c>
      <c r="H57" s="3" t="s">
        <v>14</v>
      </c>
      <c r="I57" s="4">
        <v>5</v>
      </c>
      <c r="J57" s="5">
        <v>616.63</v>
      </c>
      <c r="K57" s="5"/>
      <c r="L57" s="1" t="s">
        <v>22</v>
      </c>
      <c r="M57" s="1" t="s">
        <v>16</v>
      </c>
      <c r="N57" s="6">
        <v>3083.15</v>
      </c>
    </row>
    <row r="58" spans="1:14">
      <c r="A58" s="1">
        <v>136</v>
      </c>
      <c r="B58" s="1" t="s">
        <v>118</v>
      </c>
      <c r="C58" s="1" t="s">
        <v>119</v>
      </c>
      <c r="D58" s="2">
        <v>45820</v>
      </c>
      <c r="E58" s="2" t="b">
        <f t="shared" si="1"/>
        <v>1</v>
      </c>
      <c r="F58" s="9">
        <v>45820</v>
      </c>
      <c r="G58" s="1" t="s">
        <v>120</v>
      </c>
      <c r="H58" s="3"/>
      <c r="I58" s="4">
        <v>1</v>
      </c>
      <c r="J58" s="5">
        <v>696.71</v>
      </c>
      <c r="K58" s="5"/>
      <c r="L58" s="1" t="s">
        <v>49</v>
      </c>
      <c r="M58" s="1" t="s">
        <v>28</v>
      </c>
      <c r="N58" s="6">
        <v>696.71</v>
      </c>
    </row>
    <row r="59" spans="1:14">
      <c r="A59" s="1">
        <v>120</v>
      </c>
      <c r="B59" s="1" t="s">
        <v>78</v>
      </c>
      <c r="C59" s="1" t="s">
        <v>79</v>
      </c>
      <c r="D59" s="2">
        <v>45821</v>
      </c>
      <c r="E59" s="2" t="b">
        <f t="shared" si="1"/>
        <v>1</v>
      </c>
      <c r="F59" s="9">
        <v>45821</v>
      </c>
      <c r="G59" s="1" t="s">
        <v>80</v>
      </c>
      <c r="H59" s="3" t="s">
        <v>81</v>
      </c>
      <c r="I59" s="4">
        <v>5</v>
      </c>
      <c r="J59" s="5">
        <v>300</v>
      </c>
      <c r="K59" s="5"/>
      <c r="L59" s="1" t="s">
        <v>49</v>
      </c>
      <c r="M59" s="1" t="s">
        <v>38</v>
      </c>
      <c r="N59" s="6"/>
    </row>
    <row r="60" spans="1:14">
      <c r="A60" s="1">
        <v>195</v>
      </c>
      <c r="B60" s="1" t="s">
        <v>240</v>
      </c>
      <c r="C60" s="1" t="s">
        <v>241</v>
      </c>
      <c r="D60" s="2">
        <v>45827</v>
      </c>
      <c r="E60" s="2" t="b">
        <f t="shared" si="1"/>
        <v>1</v>
      </c>
      <c r="F60" s="9">
        <v>45827</v>
      </c>
      <c r="G60" s="1" t="s">
        <v>35</v>
      </c>
      <c r="H60" s="3" t="s">
        <v>32</v>
      </c>
      <c r="I60" s="4">
        <v>5</v>
      </c>
      <c r="J60" s="5">
        <v>817.46</v>
      </c>
      <c r="K60" s="5"/>
      <c r="L60" s="1" t="s">
        <v>15</v>
      </c>
      <c r="M60" s="1" t="s">
        <v>44</v>
      </c>
      <c r="N60" s="6">
        <v>4087.3</v>
      </c>
    </row>
    <row r="61" spans="1:14">
      <c r="A61" s="1">
        <v>129</v>
      </c>
      <c r="B61" s="1" t="s">
        <v>101</v>
      </c>
      <c r="C61" s="1" t="s">
        <v>102</v>
      </c>
      <c r="D61" s="2">
        <v>45830</v>
      </c>
      <c r="E61" s="2" t="b">
        <f t="shared" si="1"/>
        <v>1</v>
      </c>
      <c r="F61" s="9">
        <v>45830</v>
      </c>
      <c r="G61" s="1" t="s">
        <v>31</v>
      </c>
      <c r="H61" s="3" t="s">
        <v>32</v>
      </c>
      <c r="I61" s="4">
        <v>4</v>
      </c>
      <c r="J61" s="5">
        <v>736.71</v>
      </c>
      <c r="K61" s="5"/>
      <c r="L61" s="1" t="s">
        <v>41</v>
      </c>
      <c r="M61" s="1" t="s">
        <v>44</v>
      </c>
      <c r="N61" s="6">
        <v>2946.84</v>
      </c>
    </row>
    <row r="62" spans="1:14">
      <c r="A62" s="1">
        <v>197</v>
      </c>
      <c r="B62" s="1" t="s">
        <v>244</v>
      </c>
      <c r="C62" s="1" t="s">
        <v>245</v>
      </c>
      <c r="D62" s="2">
        <v>45831</v>
      </c>
      <c r="E62" s="2" t="b">
        <f t="shared" si="1"/>
        <v>1</v>
      </c>
      <c r="F62" s="9">
        <v>45831</v>
      </c>
      <c r="G62" s="1" t="s">
        <v>13</v>
      </c>
      <c r="H62" s="3" t="s">
        <v>14</v>
      </c>
      <c r="I62" s="4">
        <v>1</v>
      </c>
      <c r="J62" s="5">
        <v>160.16</v>
      </c>
      <c r="K62" s="5"/>
      <c r="L62" s="1" t="s">
        <v>22</v>
      </c>
      <c r="M62" s="1" t="s">
        <v>38</v>
      </c>
      <c r="N62" s="6">
        <v>160.16</v>
      </c>
    </row>
    <row r="63" spans="1:14">
      <c r="A63" s="1">
        <v>149</v>
      </c>
      <c r="B63" s="1" t="s">
        <v>148</v>
      </c>
      <c r="C63" s="1" t="s">
        <v>149</v>
      </c>
      <c r="D63" s="2">
        <v>45837</v>
      </c>
      <c r="E63" s="2" t="b">
        <f t="shared" si="1"/>
        <v>1</v>
      </c>
      <c r="F63" s="9">
        <v>45837</v>
      </c>
      <c r="G63" s="1" t="s">
        <v>56</v>
      </c>
      <c r="H63" s="3" t="s">
        <v>32</v>
      </c>
      <c r="I63" s="4">
        <v>5</v>
      </c>
      <c r="J63" s="5">
        <v>896.38</v>
      </c>
      <c r="K63" s="5"/>
      <c r="L63" s="1" t="s">
        <v>41</v>
      </c>
      <c r="M63" s="1" t="s">
        <v>38</v>
      </c>
      <c r="N63" s="6">
        <v>4481.8999999999996</v>
      </c>
    </row>
    <row r="64" spans="1:14">
      <c r="A64" s="1">
        <v>190</v>
      </c>
      <c r="B64" s="1" t="s">
        <v>232</v>
      </c>
      <c r="C64" s="1" t="s">
        <v>233</v>
      </c>
      <c r="D64" s="2">
        <v>45837</v>
      </c>
      <c r="E64" s="2" t="b">
        <f t="shared" si="1"/>
        <v>1</v>
      </c>
      <c r="F64" s="9">
        <v>45837</v>
      </c>
      <c r="G64" s="1" t="s">
        <v>88</v>
      </c>
      <c r="H64" s="3" t="s">
        <v>14</v>
      </c>
      <c r="I64" s="4">
        <v>1</v>
      </c>
      <c r="J64" s="5">
        <v>920.37</v>
      </c>
      <c r="K64" s="5"/>
      <c r="L64" s="1" t="s">
        <v>41</v>
      </c>
      <c r="M64" s="1" t="s">
        <v>23</v>
      </c>
      <c r="N64" s="6">
        <v>920.37</v>
      </c>
    </row>
    <row r="65" spans="1:14">
      <c r="A65" s="1">
        <v>151</v>
      </c>
      <c r="B65" s="1" t="s">
        <v>152</v>
      </c>
      <c r="C65" s="1" t="s">
        <v>153</v>
      </c>
      <c r="D65" s="2">
        <v>45839</v>
      </c>
      <c r="E65" s="2" t="b">
        <f t="shared" si="1"/>
        <v>1</v>
      </c>
      <c r="F65" s="9">
        <v>45839</v>
      </c>
      <c r="G65" s="1" t="s">
        <v>56</v>
      </c>
      <c r="H65" s="3" t="s">
        <v>32</v>
      </c>
      <c r="I65" s="4">
        <v>2</v>
      </c>
      <c r="J65" s="5">
        <v>457.16</v>
      </c>
      <c r="K65" s="5"/>
      <c r="L65" s="1" t="s">
        <v>22</v>
      </c>
      <c r="M65" s="1" t="s">
        <v>23</v>
      </c>
      <c r="N65" s="6">
        <v>640.024</v>
      </c>
    </row>
    <row r="66" spans="1:14">
      <c r="A66" s="1">
        <v>166</v>
      </c>
      <c r="B66" s="1" t="s">
        <v>184</v>
      </c>
      <c r="C66" s="1" t="s">
        <v>185</v>
      </c>
      <c r="D66" s="2">
        <v>45841</v>
      </c>
      <c r="E66" s="2" t="b">
        <f t="shared" ref="E66:E97" si="2">ISNUMBER(D66)</f>
        <v>1</v>
      </c>
      <c r="F66" s="9">
        <v>45841</v>
      </c>
      <c r="G66" s="1" t="s">
        <v>114</v>
      </c>
      <c r="H66" s="3" t="s">
        <v>100</v>
      </c>
      <c r="I66" s="4">
        <v>2</v>
      </c>
      <c r="J66" s="5">
        <v>569.38</v>
      </c>
      <c r="K66" s="5"/>
      <c r="L66" s="1" t="s">
        <v>15</v>
      </c>
      <c r="M66" s="1" t="s">
        <v>16</v>
      </c>
      <c r="N66" s="6">
        <v>1138.76</v>
      </c>
    </row>
    <row r="67" spans="1:14">
      <c r="A67" s="1">
        <v>101</v>
      </c>
      <c r="B67" s="1" t="s">
        <v>17</v>
      </c>
      <c r="C67" s="1" t="s">
        <v>18</v>
      </c>
      <c r="D67" s="2">
        <v>45843</v>
      </c>
      <c r="E67" s="2" t="b">
        <f t="shared" si="2"/>
        <v>1</v>
      </c>
      <c r="F67" s="9">
        <v>45843</v>
      </c>
      <c r="G67" s="1" t="s">
        <v>19</v>
      </c>
      <c r="H67" s="3" t="s">
        <v>20</v>
      </c>
      <c r="I67" s="4">
        <v>2</v>
      </c>
      <c r="J67" s="7" t="s">
        <v>21</v>
      </c>
      <c r="K67" s="7"/>
      <c r="L67" s="1" t="s">
        <v>22</v>
      </c>
      <c r="M67" s="1" t="s">
        <v>23</v>
      </c>
      <c r="N67" s="6"/>
    </row>
    <row r="68" spans="1:14">
      <c r="A68" s="1">
        <v>146</v>
      </c>
      <c r="B68" s="1" t="s">
        <v>141</v>
      </c>
      <c r="C68" s="1" t="s">
        <v>142</v>
      </c>
      <c r="D68" s="2">
        <v>45847</v>
      </c>
      <c r="E68" s="2" t="b">
        <f t="shared" si="2"/>
        <v>1</v>
      </c>
      <c r="F68" s="9">
        <v>45847</v>
      </c>
      <c r="G68" s="1" t="s">
        <v>52</v>
      </c>
      <c r="H68" s="3" t="s">
        <v>73</v>
      </c>
      <c r="I68" s="4">
        <v>2</v>
      </c>
      <c r="J68" s="5">
        <v>705.42</v>
      </c>
      <c r="K68" s="5"/>
      <c r="L68" s="1" t="s">
        <v>41</v>
      </c>
      <c r="M68" s="1" t="s">
        <v>23</v>
      </c>
      <c r="N68" s="6">
        <v>1410.84</v>
      </c>
    </row>
    <row r="69" spans="1:14">
      <c r="A69" s="1">
        <v>146</v>
      </c>
      <c r="B69" s="1" t="s">
        <v>141</v>
      </c>
      <c r="C69" s="1" t="s">
        <v>142</v>
      </c>
      <c r="D69" s="2">
        <v>45847</v>
      </c>
      <c r="E69" s="2" t="b">
        <f t="shared" si="2"/>
        <v>1</v>
      </c>
      <c r="F69" s="9">
        <v>45847</v>
      </c>
      <c r="G69" s="1" t="s">
        <v>52</v>
      </c>
      <c r="H69" s="3" t="s">
        <v>73</v>
      </c>
      <c r="I69" s="4">
        <v>2</v>
      </c>
      <c r="J69" s="5">
        <v>705.42</v>
      </c>
      <c r="K69" s="5"/>
      <c r="L69" s="1" t="s">
        <v>41</v>
      </c>
      <c r="M69" s="1" t="s">
        <v>23</v>
      </c>
      <c r="N69" s="6">
        <v>1410.84</v>
      </c>
    </row>
    <row r="70" spans="1:14">
      <c r="A70" s="1">
        <v>143</v>
      </c>
      <c r="B70" s="1" t="s">
        <v>133</v>
      </c>
      <c r="C70" s="1" t="s">
        <v>134</v>
      </c>
      <c r="D70" s="2">
        <v>45849</v>
      </c>
      <c r="E70" s="2" t="b">
        <f t="shared" si="2"/>
        <v>1</v>
      </c>
      <c r="F70" s="9">
        <v>45849</v>
      </c>
      <c r="G70" s="1" t="s">
        <v>114</v>
      </c>
      <c r="H70" s="3" t="s">
        <v>60</v>
      </c>
      <c r="I70" s="4">
        <v>5</v>
      </c>
      <c r="J70" s="5">
        <v>826.77</v>
      </c>
      <c r="K70" s="5"/>
      <c r="L70" s="1" t="s">
        <v>41</v>
      </c>
      <c r="M70" s="1" t="s">
        <v>38</v>
      </c>
      <c r="N70" s="6">
        <v>4133.8500000000004</v>
      </c>
    </row>
    <row r="71" spans="1:14">
      <c r="A71" s="1">
        <v>153</v>
      </c>
      <c r="B71" s="1" t="s">
        <v>156</v>
      </c>
      <c r="C71" s="1" t="s">
        <v>157</v>
      </c>
      <c r="D71" s="2">
        <v>45854</v>
      </c>
      <c r="E71" s="2" t="b">
        <f t="shared" si="2"/>
        <v>1</v>
      </c>
      <c r="F71" s="9">
        <v>45854</v>
      </c>
      <c r="G71" s="1" t="s">
        <v>80</v>
      </c>
      <c r="H71" s="3" t="s">
        <v>27</v>
      </c>
      <c r="I71" s="4">
        <v>4</v>
      </c>
      <c r="J71" s="5">
        <v>278.89999999999998</v>
      </c>
      <c r="K71" s="5"/>
      <c r="L71" s="1" t="s">
        <v>15</v>
      </c>
      <c r="M71" s="1" t="s">
        <v>23</v>
      </c>
      <c r="N71" s="6">
        <v>1115.5999999999999</v>
      </c>
    </row>
    <row r="72" spans="1:14">
      <c r="A72" s="1">
        <v>191</v>
      </c>
      <c r="B72" s="1" t="s">
        <v>234</v>
      </c>
      <c r="C72" s="1" t="s">
        <v>235</v>
      </c>
      <c r="D72" s="2">
        <v>45856</v>
      </c>
      <c r="E72" s="2" t="b">
        <f t="shared" si="2"/>
        <v>1</v>
      </c>
      <c r="F72" s="9">
        <v>45856</v>
      </c>
      <c r="G72" s="1" t="s">
        <v>63</v>
      </c>
      <c r="H72" s="3" t="s">
        <v>32</v>
      </c>
      <c r="I72" s="4">
        <v>2</v>
      </c>
      <c r="J72" s="5">
        <v>881.02</v>
      </c>
      <c r="K72" s="5"/>
      <c r="L72" s="1" t="s">
        <v>15</v>
      </c>
      <c r="M72" s="1" t="s">
        <v>44</v>
      </c>
      <c r="N72" s="6">
        <v>1762.04</v>
      </c>
    </row>
    <row r="73" spans="1:14">
      <c r="A73" s="1">
        <v>176</v>
      </c>
      <c r="B73" s="1" t="s">
        <v>204</v>
      </c>
      <c r="C73" s="1" t="s">
        <v>205</v>
      </c>
      <c r="D73" s="2">
        <v>45860</v>
      </c>
      <c r="E73" s="2" t="b">
        <f t="shared" si="2"/>
        <v>1</v>
      </c>
      <c r="F73" s="9">
        <v>45860</v>
      </c>
      <c r="G73" s="1" t="s">
        <v>56</v>
      </c>
      <c r="H73" s="3" t="s">
        <v>32</v>
      </c>
      <c r="I73" s="4">
        <v>5</v>
      </c>
      <c r="J73" s="5">
        <v>530.52</v>
      </c>
      <c r="K73" s="5"/>
      <c r="L73" s="1" t="s">
        <v>15</v>
      </c>
      <c r="M73" s="1" t="s">
        <v>16</v>
      </c>
      <c r="N73" s="6">
        <v>2652.6</v>
      </c>
    </row>
    <row r="74" spans="1:14">
      <c r="A74" s="1">
        <v>113</v>
      </c>
      <c r="B74" s="1" t="s">
        <v>61</v>
      </c>
      <c r="C74" s="1" t="s">
        <v>62</v>
      </c>
      <c r="D74" s="2">
        <v>45862</v>
      </c>
      <c r="E74" s="2" t="b">
        <f t="shared" si="2"/>
        <v>1</v>
      </c>
      <c r="F74" s="9">
        <v>45862</v>
      </c>
      <c r="G74" s="1" t="s">
        <v>63</v>
      </c>
      <c r="H74" s="3" t="s">
        <v>32</v>
      </c>
      <c r="I74" s="4">
        <v>1</v>
      </c>
      <c r="J74" s="5">
        <v>411.81</v>
      </c>
      <c r="K74" s="5"/>
      <c r="L74" s="1" t="s">
        <v>49</v>
      </c>
      <c r="M74" s="1" t="s">
        <v>23</v>
      </c>
      <c r="N74" s="6">
        <v>411.81</v>
      </c>
    </row>
    <row r="75" spans="1:14">
      <c r="A75" s="1">
        <v>198</v>
      </c>
      <c r="B75" s="1" t="s">
        <v>246</v>
      </c>
      <c r="C75" s="1" t="s">
        <v>247</v>
      </c>
      <c r="D75" s="2">
        <v>45865</v>
      </c>
      <c r="E75" s="2" t="b">
        <f t="shared" si="2"/>
        <v>1</v>
      </c>
      <c r="F75" s="9">
        <v>45865</v>
      </c>
      <c r="G75" s="1" t="s">
        <v>88</v>
      </c>
      <c r="H75" s="3"/>
      <c r="I75" s="4">
        <v>2</v>
      </c>
      <c r="J75" s="5">
        <v>497.01</v>
      </c>
      <c r="K75" s="5"/>
      <c r="L75" s="1" t="s">
        <v>15</v>
      </c>
      <c r="M75" s="1" t="s">
        <v>16</v>
      </c>
      <c r="N75" s="6">
        <v>994.02</v>
      </c>
    </row>
    <row r="76" spans="1:14">
      <c r="A76" s="1">
        <v>159</v>
      </c>
      <c r="B76" s="1" t="s">
        <v>170</v>
      </c>
      <c r="C76" s="1" t="s">
        <v>171</v>
      </c>
      <c r="D76" s="2">
        <v>45866</v>
      </c>
      <c r="E76" s="2" t="b">
        <f t="shared" si="2"/>
        <v>1</v>
      </c>
      <c r="F76" s="9">
        <v>45866</v>
      </c>
      <c r="G76" s="1" t="s">
        <v>70</v>
      </c>
      <c r="H76" s="3" t="s">
        <v>14</v>
      </c>
      <c r="I76" s="4">
        <v>3</v>
      </c>
      <c r="J76" s="5">
        <v>163.16</v>
      </c>
      <c r="K76" s="5"/>
      <c r="L76" s="1" t="s">
        <v>22</v>
      </c>
      <c r="M76" s="1" t="s">
        <v>16</v>
      </c>
      <c r="N76" s="6">
        <v>489.48</v>
      </c>
    </row>
    <row r="77" spans="1:14">
      <c r="A77" s="1">
        <v>177</v>
      </c>
      <c r="B77" s="1" t="s">
        <v>206</v>
      </c>
      <c r="C77" s="1" t="s">
        <v>207</v>
      </c>
      <c r="D77" s="2">
        <v>45866</v>
      </c>
      <c r="E77" s="2" t="b">
        <f t="shared" si="2"/>
        <v>1</v>
      </c>
      <c r="F77" s="9">
        <v>45866</v>
      </c>
      <c r="G77" s="1" t="s">
        <v>140</v>
      </c>
      <c r="H77" s="3" t="s">
        <v>20</v>
      </c>
      <c r="I77" s="4">
        <v>1</v>
      </c>
      <c r="J77" s="5">
        <v>69.48</v>
      </c>
      <c r="K77" s="5"/>
      <c r="L77" s="1" t="s">
        <v>41</v>
      </c>
      <c r="M77" s="1" t="s">
        <v>44</v>
      </c>
      <c r="N77" s="6">
        <v>69.48</v>
      </c>
    </row>
    <row r="78" spans="1:14">
      <c r="A78" s="1">
        <v>182</v>
      </c>
      <c r="B78" s="1" t="s">
        <v>216</v>
      </c>
      <c r="C78" s="1" t="s">
        <v>217</v>
      </c>
      <c r="D78" s="2">
        <v>45872</v>
      </c>
      <c r="E78" s="2" t="b">
        <f t="shared" si="2"/>
        <v>1</v>
      </c>
      <c r="F78" s="9">
        <v>45872</v>
      </c>
      <c r="G78" s="1" t="s">
        <v>59</v>
      </c>
      <c r="H78" s="3"/>
      <c r="I78" s="4">
        <v>4</v>
      </c>
      <c r="J78" s="5">
        <v>538.35</v>
      </c>
      <c r="K78" s="5"/>
      <c r="L78" s="1" t="s">
        <v>22</v>
      </c>
      <c r="M78" s="1" t="s">
        <v>23</v>
      </c>
      <c r="N78" s="6">
        <v>2153.4</v>
      </c>
    </row>
    <row r="79" spans="1:14">
      <c r="A79" s="1">
        <v>167</v>
      </c>
      <c r="B79" s="1" t="s">
        <v>186</v>
      </c>
      <c r="C79" s="1" t="s">
        <v>187</v>
      </c>
      <c r="D79" s="2">
        <v>45876</v>
      </c>
      <c r="E79" s="2" t="b">
        <f t="shared" si="2"/>
        <v>1</v>
      </c>
      <c r="F79" s="9">
        <v>45876</v>
      </c>
      <c r="G79" s="1" t="s">
        <v>52</v>
      </c>
      <c r="H79" s="3" t="s">
        <v>27</v>
      </c>
      <c r="I79" s="4"/>
      <c r="J79" s="5">
        <v>593.92999999999995</v>
      </c>
      <c r="K79" s="5"/>
      <c r="L79" s="1" t="s">
        <v>15</v>
      </c>
      <c r="M79" s="1" t="s">
        <v>23</v>
      </c>
      <c r="N79" s="6"/>
    </row>
    <row r="80" spans="1:14">
      <c r="A80" s="1">
        <v>138</v>
      </c>
      <c r="B80" s="1" t="s">
        <v>123</v>
      </c>
      <c r="C80" s="1" t="s">
        <v>124</v>
      </c>
      <c r="D80" s="2">
        <v>45878</v>
      </c>
      <c r="E80" s="2" t="b">
        <f t="shared" si="2"/>
        <v>1</v>
      </c>
      <c r="F80" s="9">
        <v>45878</v>
      </c>
      <c r="G80" s="1" t="s">
        <v>99</v>
      </c>
      <c r="H80" s="3" t="s">
        <v>14</v>
      </c>
      <c r="I80" s="4">
        <v>1</v>
      </c>
      <c r="J80" s="5">
        <v>531.05999999999995</v>
      </c>
      <c r="K80" s="5"/>
      <c r="L80" s="1" t="s">
        <v>22</v>
      </c>
      <c r="M80" s="1" t="s">
        <v>23</v>
      </c>
      <c r="N80" s="6">
        <v>531.05999999999995</v>
      </c>
    </row>
    <row r="81" spans="1:14">
      <c r="A81" s="1">
        <v>169</v>
      </c>
      <c r="B81" s="1" t="s">
        <v>190</v>
      </c>
      <c r="C81" s="1" t="s">
        <v>191</v>
      </c>
      <c r="D81" s="2">
        <v>45881</v>
      </c>
      <c r="E81" s="2" t="b">
        <f t="shared" si="2"/>
        <v>1</v>
      </c>
      <c r="F81" s="9">
        <v>45881</v>
      </c>
      <c r="G81" s="1" t="s">
        <v>52</v>
      </c>
      <c r="H81" s="3" t="s">
        <v>27</v>
      </c>
      <c r="I81" s="4">
        <v>1</v>
      </c>
      <c r="J81" s="5">
        <v>582.13</v>
      </c>
      <c r="K81" s="5"/>
      <c r="L81" s="1" t="s">
        <v>49</v>
      </c>
      <c r="M81" s="1" t="s">
        <v>44</v>
      </c>
      <c r="N81" s="6">
        <v>582.13</v>
      </c>
    </row>
    <row r="82" spans="1:14">
      <c r="A82" s="1">
        <v>185</v>
      </c>
      <c r="B82" s="1" t="s">
        <v>222</v>
      </c>
      <c r="C82" s="1" t="s">
        <v>223</v>
      </c>
      <c r="D82" s="2">
        <v>45883</v>
      </c>
      <c r="E82" s="2" t="b">
        <f t="shared" si="2"/>
        <v>1</v>
      </c>
      <c r="F82" s="9">
        <v>45883</v>
      </c>
      <c r="G82" s="1" t="s">
        <v>137</v>
      </c>
      <c r="H82" s="3" t="s">
        <v>27</v>
      </c>
      <c r="I82" s="4">
        <v>2</v>
      </c>
      <c r="J82" s="5">
        <v>730.92</v>
      </c>
      <c r="K82" s="5"/>
      <c r="L82" s="1" t="s">
        <v>15</v>
      </c>
      <c r="M82" s="1" t="s">
        <v>38</v>
      </c>
      <c r="N82" s="6">
        <v>1023.288</v>
      </c>
    </row>
    <row r="83" spans="1:14">
      <c r="A83" s="1">
        <v>189</v>
      </c>
      <c r="B83" s="1" t="s">
        <v>230</v>
      </c>
      <c r="C83" s="1" t="s">
        <v>231</v>
      </c>
      <c r="D83" s="2">
        <v>45883</v>
      </c>
      <c r="E83" s="2" t="b">
        <f t="shared" si="2"/>
        <v>1</v>
      </c>
      <c r="F83" s="9">
        <v>45883</v>
      </c>
      <c r="G83" s="1" t="s">
        <v>99</v>
      </c>
      <c r="H83" s="3" t="s">
        <v>14</v>
      </c>
      <c r="I83" s="4">
        <v>1</v>
      </c>
      <c r="J83" s="5">
        <v>814.68</v>
      </c>
      <c r="K83" s="5"/>
      <c r="L83" s="1" t="s">
        <v>15</v>
      </c>
      <c r="M83" s="1" t="s">
        <v>44</v>
      </c>
      <c r="N83" s="6">
        <v>814.68</v>
      </c>
    </row>
    <row r="84" spans="1:14">
      <c r="A84" s="1">
        <v>130</v>
      </c>
      <c r="B84" s="1" t="s">
        <v>103</v>
      </c>
      <c r="C84" s="1" t="s">
        <v>104</v>
      </c>
      <c r="D84" s="2">
        <v>45884</v>
      </c>
      <c r="E84" s="2" t="b">
        <f t="shared" si="2"/>
        <v>1</v>
      </c>
      <c r="F84" s="9">
        <v>45884</v>
      </c>
      <c r="G84" s="1" t="s">
        <v>26</v>
      </c>
      <c r="H84" s="3" t="s">
        <v>27</v>
      </c>
      <c r="I84" s="4">
        <v>2</v>
      </c>
      <c r="J84" s="5"/>
      <c r="K84" s="5"/>
      <c r="L84" s="1" t="s">
        <v>41</v>
      </c>
      <c r="M84" s="1" t="s">
        <v>23</v>
      </c>
      <c r="N84" s="6"/>
    </row>
    <row r="85" spans="1:14">
      <c r="A85" s="1">
        <v>179</v>
      </c>
      <c r="B85" s="1" t="s">
        <v>210</v>
      </c>
      <c r="C85" s="1" t="s">
        <v>211</v>
      </c>
      <c r="D85" s="2">
        <v>45903</v>
      </c>
      <c r="E85" s="2" t="b">
        <f t="shared" si="2"/>
        <v>1</v>
      </c>
      <c r="F85" s="9">
        <v>45903</v>
      </c>
      <c r="G85" s="1" t="s">
        <v>80</v>
      </c>
      <c r="H85" s="3" t="s">
        <v>27</v>
      </c>
      <c r="I85" s="4">
        <v>3</v>
      </c>
      <c r="J85" s="5">
        <v>868.67</v>
      </c>
      <c r="K85" s="5"/>
      <c r="L85" s="1" t="s">
        <v>22</v>
      </c>
      <c r="M85" s="1" t="s">
        <v>28</v>
      </c>
      <c r="N85" s="6">
        <v>2606.0100000000002</v>
      </c>
    </row>
    <row r="86" spans="1:14">
      <c r="A86" s="1">
        <v>178</v>
      </c>
      <c r="B86" s="1" t="s">
        <v>208</v>
      </c>
      <c r="C86" s="1" t="s">
        <v>209</v>
      </c>
      <c r="D86" s="2">
        <v>45918</v>
      </c>
      <c r="E86" s="2" t="b">
        <f t="shared" si="2"/>
        <v>1</v>
      </c>
      <c r="F86" s="9">
        <v>45918</v>
      </c>
      <c r="G86" s="1" t="s">
        <v>26</v>
      </c>
      <c r="H86" s="3" t="s">
        <v>27</v>
      </c>
      <c r="I86" s="4">
        <v>3</v>
      </c>
      <c r="J86" s="5">
        <v>472.14</v>
      </c>
      <c r="K86" s="5"/>
      <c r="L86" s="1" t="s">
        <v>22</v>
      </c>
      <c r="M86" s="1" t="s">
        <v>44</v>
      </c>
      <c r="N86" s="6">
        <v>1416.42</v>
      </c>
    </row>
    <row r="87" spans="1:14">
      <c r="A87" s="1">
        <v>174</v>
      </c>
      <c r="B87" s="1" t="s">
        <v>200</v>
      </c>
      <c r="C87" s="1" t="s">
        <v>201</v>
      </c>
      <c r="D87" s="2">
        <v>45920</v>
      </c>
      <c r="E87" s="2" t="b">
        <f t="shared" si="2"/>
        <v>1</v>
      </c>
      <c r="F87" s="9">
        <v>45920</v>
      </c>
      <c r="G87" s="1" t="s">
        <v>70</v>
      </c>
      <c r="H87" s="3" t="s">
        <v>81</v>
      </c>
      <c r="I87" s="4">
        <v>4</v>
      </c>
      <c r="J87" s="5">
        <v>187.48</v>
      </c>
      <c r="K87" s="5"/>
      <c r="L87" s="1" t="s">
        <v>49</v>
      </c>
      <c r="M87" s="1" t="s">
        <v>44</v>
      </c>
      <c r="N87" s="6">
        <v>749.92</v>
      </c>
    </row>
    <row r="88" spans="1:14">
      <c r="A88" s="1">
        <v>152</v>
      </c>
      <c r="B88" s="1" t="s">
        <v>154</v>
      </c>
      <c r="C88" s="1" t="s">
        <v>155</v>
      </c>
      <c r="D88" s="2">
        <v>45922</v>
      </c>
      <c r="E88" s="2" t="b">
        <f t="shared" si="2"/>
        <v>1</v>
      </c>
      <c r="F88" s="9">
        <v>45922</v>
      </c>
      <c r="G88" s="1" t="s">
        <v>99</v>
      </c>
      <c r="H88" s="3" t="s">
        <v>14</v>
      </c>
      <c r="I88" s="4">
        <v>3</v>
      </c>
      <c r="J88" s="5">
        <v>233.11</v>
      </c>
      <c r="K88" s="5"/>
      <c r="L88" s="1" t="s">
        <v>22</v>
      </c>
      <c r="M88" s="1" t="s">
        <v>44</v>
      </c>
      <c r="N88" s="6">
        <v>699.33</v>
      </c>
    </row>
    <row r="89" spans="1:14">
      <c r="A89" s="1">
        <v>110</v>
      </c>
      <c r="B89" s="1" t="s">
        <v>50</v>
      </c>
      <c r="C89" s="1" t="s">
        <v>51</v>
      </c>
      <c r="D89" s="2">
        <v>45926</v>
      </c>
      <c r="E89" s="2" t="b">
        <f t="shared" si="2"/>
        <v>1</v>
      </c>
      <c r="F89" s="9">
        <v>45926</v>
      </c>
      <c r="G89" s="1" t="s">
        <v>52</v>
      </c>
      <c r="H89" s="3" t="s">
        <v>53</v>
      </c>
      <c r="I89" s="4">
        <v>5</v>
      </c>
      <c r="J89" s="5">
        <v>400</v>
      </c>
      <c r="K89" s="5"/>
      <c r="L89" s="1" t="s">
        <v>15</v>
      </c>
      <c r="M89" s="1" t="s">
        <v>38</v>
      </c>
      <c r="N89" s="6">
        <f>I89*J89</f>
        <v>2000</v>
      </c>
    </row>
    <row r="90" spans="1:14">
      <c r="A90" s="1">
        <v>170</v>
      </c>
      <c r="B90" s="1" t="s">
        <v>192</v>
      </c>
      <c r="C90" s="1" t="s">
        <v>193</v>
      </c>
      <c r="D90" s="2">
        <v>45933</v>
      </c>
      <c r="E90" s="2" t="b">
        <f t="shared" si="2"/>
        <v>1</v>
      </c>
      <c r="F90" s="9">
        <v>45933</v>
      </c>
      <c r="G90" s="1" t="s">
        <v>165</v>
      </c>
      <c r="H90" s="3" t="s">
        <v>60</v>
      </c>
      <c r="I90" s="4">
        <v>5</v>
      </c>
      <c r="J90" s="5">
        <v>741.63</v>
      </c>
      <c r="K90" s="5"/>
      <c r="L90" s="1" t="s">
        <v>41</v>
      </c>
      <c r="M90" s="1" t="s">
        <v>23</v>
      </c>
      <c r="N90" s="6">
        <v>3708.15</v>
      </c>
    </row>
    <row r="91" spans="1:14">
      <c r="A91" s="1">
        <v>134</v>
      </c>
      <c r="B91" s="1" t="s">
        <v>112</v>
      </c>
      <c r="C91" s="1" t="s">
        <v>113</v>
      </c>
      <c r="D91" s="2">
        <v>45934</v>
      </c>
      <c r="E91" s="2" t="b">
        <f t="shared" si="2"/>
        <v>1</v>
      </c>
      <c r="F91" s="9">
        <v>45934</v>
      </c>
      <c r="G91" s="1" t="s">
        <v>114</v>
      </c>
      <c r="H91" s="3" t="s">
        <v>60</v>
      </c>
      <c r="I91" s="4">
        <v>5</v>
      </c>
      <c r="J91" s="5">
        <v>591.53</v>
      </c>
      <c r="K91" s="5"/>
      <c r="L91" s="1" t="s">
        <v>22</v>
      </c>
      <c r="M91" s="1" t="s">
        <v>16</v>
      </c>
      <c r="N91" s="6">
        <v>-2957.65</v>
      </c>
    </row>
    <row r="92" spans="1:14">
      <c r="A92" s="1">
        <v>123</v>
      </c>
      <c r="B92" s="1" t="s">
        <v>86</v>
      </c>
      <c r="C92" s="1" t="s">
        <v>87</v>
      </c>
      <c r="D92" s="2">
        <v>45936</v>
      </c>
      <c r="E92" s="2" t="b">
        <f t="shared" si="2"/>
        <v>1</v>
      </c>
      <c r="F92" s="9">
        <v>45936</v>
      </c>
      <c r="G92" s="1" t="s">
        <v>88</v>
      </c>
      <c r="H92" s="3" t="s">
        <v>73</v>
      </c>
      <c r="I92" s="4">
        <v>3</v>
      </c>
      <c r="J92" s="5">
        <v>615.91</v>
      </c>
      <c r="K92" s="5"/>
      <c r="L92" s="1" t="s">
        <v>15</v>
      </c>
      <c r="M92" s="1" t="s">
        <v>38</v>
      </c>
      <c r="N92" s="6">
        <v>1847.73</v>
      </c>
    </row>
    <row r="93" spans="1:14">
      <c r="A93" s="1">
        <v>186</v>
      </c>
      <c r="B93" s="1" t="s">
        <v>224</v>
      </c>
      <c r="C93" s="1" t="s">
        <v>225</v>
      </c>
      <c r="D93" s="2">
        <v>45936</v>
      </c>
      <c r="E93" s="2" t="b">
        <f t="shared" si="2"/>
        <v>1</v>
      </c>
      <c r="F93" s="9">
        <v>45936</v>
      </c>
      <c r="G93" s="1" t="s">
        <v>140</v>
      </c>
      <c r="H93" s="3" t="s">
        <v>20</v>
      </c>
      <c r="I93" s="4">
        <v>1</v>
      </c>
      <c r="J93" s="5">
        <v>365.34</v>
      </c>
      <c r="K93" s="5"/>
      <c r="L93" s="1" t="s">
        <v>41</v>
      </c>
      <c r="M93" s="1" t="s">
        <v>28</v>
      </c>
      <c r="N93" s="6">
        <v>365.34</v>
      </c>
    </row>
    <row r="94" spans="1:14">
      <c r="A94" s="1">
        <v>121</v>
      </c>
      <c r="B94" s="1" t="s">
        <v>82</v>
      </c>
      <c r="C94" s="1" t="s">
        <v>83</v>
      </c>
      <c r="D94" s="2">
        <v>45941</v>
      </c>
      <c r="E94" s="2" t="b">
        <f t="shared" si="2"/>
        <v>1</v>
      </c>
      <c r="F94" s="9">
        <v>45941</v>
      </c>
      <c r="G94" s="1" t="s">
        <v>52</v>
      </c>
      <c r="H94" s="3" t="s">
        <v>27</v>
      </c>
      <c r="I94" s="4">
        <v>4</v>
      </c>
      <c r="J94" s="5">
        <v>523.01</v>
      </c>
      <c r="K94" s="5"/>
      <c r="L94" s="1" t="s">
        <v>49</v>
      </c>
      <c r="M94" s="1" t="s">
        <v>28</v>
      </c>
      <c r="N94" s="6">
        <v>2092.04</v>
      </c>
    </row>
    <row r="95" spans="1:14">
      <c r="A95" s="1">
        <v>173</v>
      </c>
      <c r="B95" s="1" t="s">
        <v>198</v>
      </c>
      <c r="C95" s="1" t="s">
        <v>199</v>
      </c>
      <c r="D95" s="2">
        <v>45941</v>
      </c>
      <c r="E95" s="2" t="b">
        <f t="shared" si="2"/>
        <v>1</v>
      </c>
      <c r="F95" s="9">
        <v>45941</v>
      </c>
      <c r="G95" s="1" t="s">
        <v>99</v>
      </c>
      <c r="H95" s="3" t="s">
        <v>14</v>
      </c>
      <c r="I95" s="4">
        <v>5</v>
      </c>
      <c r="J95" s="5">
        <v>351.89</v>
      </c>
      <c r="K95" s="5"/>
      <c r="L95" s="1" t="s">
        <v>49</v>
      </c>
      <c r="M95" s="1" t="s">
        <v>16</v>
      </c>
      <c r="N95" s="6">
        <v>1759.45</v>
      </c>
    </row>
    <row r="96" spans="1:14">
      <c r="A96" s="1">
        <v>104</v>
      </c>
      <c r="B96" s="1" t="s">
        <v>33</v>
      </c>
      <c r="C96" s="1" t="s">
        <v>34</v>
      </c>
      <c r="D96" s="2">
        <v>45950</v>
      </c>
      <c r="E96" s="2" t="b">
        <f t="shared" si="2"/>
        <v>1</v>
      </c>
      <c r="F96" s="9">
        <v>45950</v>
      </c>
      <c r="G96" s="1" t="s">
        <v>35</v>
      </c>
      <c r="H96" s="3" t="s">
        <v>32</v>
      </c>
      <c r="I96" s="4">
        <v>1</v>
      </c>
      <c r="J96" s="5">
        <v>552.51</v>
      </c>
      <c r="K96" s="5"/>
      <c r="L96" s="1" t="s">
        <v>15</v>
      </c>
      <c r="M96" s="1" t="s">
        <v>23</v>
      </c>
      <c r="N96" s="6">
        <v>552.51</v>
      </c>
    </row>
    <row r="97" spans="1:14">
      <c r="A97" s="1">
        <v>111</v>
      </c>
      <c r="B97" s="1" t="s">
        <v>54</v>
      </c>
      <c r="C97" s="1" t="s">
        <v>55</v>
      </c>
      <c r="D97" s="2">
        <v>45952</v>
      </c>
      <c r="E97" s="2" t="b">
        <f t="shared" si="2"/>
        <v>1</v>
      </c>
      <c r="F97" s="9">
        <v>45952</v>
      </c>
      <c r="G97" s="1" t="s">
        <v>56</v>
      </c>
      <c r="H97" s="3" t="s">
        <v>32</v>
      </c>
      <c r="I97" s="4">
        <v>2</v>
      </c>
      <c r="J97" s="5">
        <v>865.77</v>
      </c>
      <c r="K97" s="5"/>
      <c r="L97" s="1" t="s">
        <v>49</v>
      </c>
      <c r="M97" s="1" t="s">
        <v>44</v>
      </c>
      <c r="N97" s="6">
        <v>1731.54</v>
      </c>
    </row>
    <row r="98" spans="1:14">
      <c r="A98" s="1">
        <v>108</v>
      </c>
      <c r="B98" s="1" t="s">
        <v>45</v>
      </c>
      <c r="C98" s="1" t="s">
        <v>46</v>
      </c>
      <c r="D98" s="2">
        <v>45953</v>
      </c>
      <c r="E98" s="2" t="b">
        <f t="shared" ref="E98:E103" si="3">ISNUMBER(D98)</f>
        <v>1</v>
      </c>
      <c r="F98" s="9">
        <v>45953</v>
      </c>
      <c r="G98" s="1" t="s">
        <v>31</v>
      </c>
      <c r="H98" s="3" t="s">
        <v>32</v>
      </c>
      <c r="I98" s="4">
        <v>1</v>
      </c>
      <c r="J98" s="5">
        <v>600.29</v>
      </c>
      <c r="K98" s="5"/>
      <c r="L98" s="1" t="s">
        <v>15</v>
      </c>
      <c r="M98" s="1" t="s">
        <v>23</v>
      </c>
      <c r="N98" s="6">
        <v>600.29</v>
      </c>
    </row>
    <row r="99" spans="1:14">
      <c r="A99" s="1">
        <v>116</v>
      </c>
      <c r="B99" s="1" t="s">
        <v>68</v>
      </c>
      <c r="C99" s="1" t="s">
        <v>69</v>
      </c>
      <c r="D99" s="2">
        <v>45960</v>
      </c>
      <c r="E99" s="2" t="b">
        <f t="shared" si="3"/>
        <v>1</v>
      </c>
      <c r="F99" s="9">
        <v>45960</v>
      </c>
      <c r="G99" s="1" t="s">
        <v>70</v>
      </c>
      <c r="H99" s="3" t="s">
        <v>14</v>
      </c>
      <c r="I99" s="4">
        <v>4</v>
      </c>
      <c r="J99" s="5"/>
      <c r="K99" s="5"/>
      <c r="L99" s="1" t="s">
        <v>15</v>
      </c>
      <c r="M99" s="1" t="s">
        <v>23</v>
      </c>
      <c r="N99" s="6"/>
    </row>
    <row r="100" spans="1:14">
      <c r="A100" s="1">
        <v>142</v>
      </c>
      <c r="B100" s="1" t="s">
        <v>131</v>
      </c>
      <c r="C100" s="1" t="s">
        <v>132</v>
      </c>
      <c r="D100" s="2">
        <v>45960</v>
      </c>
      <c r="E100" s="2" t="b">
        <f t="shared" si="3"/>
        <v>1</v>
      </c>
      <c r="F100" s="9">
        <v>45960</v>
      </c>
      <c r="G100" s="1" t="s">
        <v>59</v>
      </c>
      <c r="H100" s="3" t="s">
        <v>60</v>
      </c>
      <c r="I100" s="4">
        <v>5</v>
      </c>
      <c r="J100" s="5">
        <v>645.26</v>
      </c>
      <c r="K100" s="5"/>
      <c r="L100" s="1" t="s">
        <v>49</v>
      </c>
      <c r="M100" s="1" t="s">
        <v>16</v>
      </c>
      <c r="N100" s="6">
        <v>2258.41</v>
      </c>
    </row>
    <row r="101" spans="1:14">
      <c r="A101" s="1">
        <v>142</v>
      </c>
      <c r="B101" s="1" t="s">
        <v>131</v>
      </c>
      <c r="C101" s="1" t="s">
        <v>132</v>
      </c>
      <c r="D101" s="2">
        <v>45960</v>
      </c>
      <c r="E101" s="2" t="b">
        <f t="shared" si="3"/>
        <v>1</v>
      </c>
      <c r="F101" s="9">
        <v>45960</v>
      </c>
      <c r="G101" s="1" t="s">
        <v>59</v>
      </c>
      <c r="H101" s="3" t="s">
        <v>60</v>
      </c>
      <c r="I101" s="4">
        <v>5</v>
      </c>
      <c r="J101" s="5">
        <v>645.26</v>
      </c>
      <c r="K101" s="5"/>
      <c r="L101" s="1" t="s">
        <v>49</v>
      </c>
      <c r="M101" s="1" t="s">
        <v>16</v>
      </c>
      <c r="N101" s="6">
        <v>3226.3</v>
      </c>
    </row>
    <row r="102" spans="1:14">
      <c r="A102" s="1">
        <v>168</v>
      </c>
      <c r="B102" s="1" t="s">
        <v>188</v>
      </c>
      <c r="C102" s="1" t="s">
        <v>189</v>
      </c>
      <c r="D102" s="2">
        <v>45965</v>
      </c>
      <c r="E102" s="2" t="b">
        <f t="shared" si="3"/>
        <v>1</v>
      </c>
      <c r="F102" s="9">
        <v>45965</v>
      </c>
      <c r="G102" s="1" t="s">
        <v>35</v>
      </c>
      <c r="H102" s="3" t="s">
        <v>32</v>
      </c>
      <c r="I102" s="4">
        <v>2</v>
      </c>
      <c r="J102" s="5">
        <v>141.49</v>
      </c>
      <c r="K102" s="5"/>
      <c r="L102" s="1" t="s">
        <v>22</v>
      </c>
      <c r="M102" s="1" t="s">
        <v>38</v>
      </c>
      <c r="N102" s="6">
        <v>282.98</v>
      </c>
    </row>
    <row r="103" spans="1:14">
      <c r="A103" s="1">
        <v>157</v>
      </c>
      <c r="B103" s="1" t="s">
        <v>166</v>
      </c>
      <c r="C103" s="1" t="s">
        <v>167</v>
      </c>
      <c r="D103" s="2">
        <v>45967</v>
      </c>
      <c r="E103" s="2" t="b">
        <f t="shared" si="3"/>
        <v>1</v>
      </c>
      <c r="F103" s="9">
        <v>45967</v>
      </c>
      <c r="G103" s="1" t="s">
        <v>145</v>
      </c>
      <c r="H103" s="3" t="s">
        <v>60</v>
      </c>
      <c r="I103" s="4">
        <v>4</v>
      </c>
      <c r="J103" s="5">
        <v>275.10000000000002</v>
      </c>
      <c r="K103" s="5"/>
      <c r="L103" s="1" t="s">
        <v>41</v>
      </c>
      <c r="M103" s="1" t="s">
        <v>23</v>
      </c>
      <c r="N103" s="6">
        <v>1100.4000000000001</v>
      </c>
    </row>
  </sheetData>
  <autoFilter ref="A1:N103" xr:uid="{6958E836-749A-41D3-8FF7-39236045E2A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B6F792-0435-4D7F-8EAB-8A0912E6E0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Pivot Tables</vt:lpstr>
      <vt:lpstr>Dashboard</vt:lpstr>
      <vt:lpstr>Pivot 2</vt:lpstr>
      <vt:lpstr>Pivot 3</vt:lpstr>
      <vt:lpstr>Pivot 4</vt:lpstr>
      <vt:lpstr>Pivot 5</vt:lpstr>
      <vt:lpstr>Pivot 6</vt:lpstr>
      <vt:lpstr>E-Commerce sales</vt:lpstr>
      <vt:lpstr>Mapping</vt:lpstr>
      <vt:lpstr>Backup of Raw Data</vt:lpstr>
      <vt:lpstr>Total_Revenue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A-FF-L4-D25</dc:creator>
  <cp:lastModifiedBy>Essam, yousif 1281701073</cp:lastModifiedBy>
  <dcterms:created xsi:type="dcterms:W3CDTF">2026-06-10T12:44:50Z</dcterms:created>
  <dcterms:modified xsi:type="dcterms:W3CDTF">2026-06-13T15:04:37Z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314163513BF449E69A811AB03C5695DD_13</vt:lpwstr>
  </property>
  <property fmtid="{D5CDD505-2E9C-101B-9397-08002B2CF9AE}" pid="3" name="KSOProductBuildVer">
    <vt:lpwstr>1033-12.1.0.26880</vt:lpwstr>
  </property>
  <property fmtid="{D5CDD505-2E9C-101B-9397-08002B2CF9AE}" pid="4" name="CalculationRule">
    <vt:i4>0</vt:i4>
  </property>
</Properties>
</file>